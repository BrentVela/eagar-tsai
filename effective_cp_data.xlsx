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804D757E-41FF-4D82-994C-665CBFA55AA8}" xr6:coauthVersionLast="47" xr6:coauthVersionMax="47" xr10:uidLastSave="{00000000-0000-0000-0000-000000000000}"/>
  <bookViews>
    <workbookView xWindow="2544" yWindow="2544" windowWidth="17280" windowHeight="10932" xr2:uid="{1816CEF8-50DA-45C5-B27B-414F4898D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58" i="1"/>
  <c r="M59" i="1"/>
  <c r="M60" i="1"/>
  <c r="M61" i="1"/>
  <c r="M62" i="1"/>
  <c r="M63" i="1"/>
  <c r="M64" i="1"/>
  <c r="M65" i="1"/>
  <c r="M57" i="1"/>
  <c r="M56" i="1"/>
  <c r="M55" i="1"/>
  <c r="M54" i="1"/>
  <c r="M53" i="1"/>
  <c r="M52" i="1"/>
  <c r="M51" i="1"/>
  <c r="M50" i="1"/>
  <c r="M45" i="1"/>
  <c r="M49" i="1"/>
  <c r="M48" i="1"/>
  <c r="M47" i="1"/>
  <c r="M46" i="1"/>
  <c r="M44" i="1"/>
  <c r="M43" i="1"/>
  <c r="M42" i="1"/>
  <c r="M35" i="1"/>
  <c r="M34" i="1"/>
  <c r="M36" i="1"/>
  <c r="M37" i="1"/>
  <c r="M38" i="1"/>
  <c r="M39" i="1"/>
  <c r="M40" i="1"/>
  <c r="M41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4" i="1"/>
  <c r="M12" i="1"/>
  <c r="M10" i="1"/>
  <c r="M6" i="1"/>
  <c r="M9" i="1"/>
  <c r="M7" i="1"/>
  <c r="M11" i="1"/>
  <c r="M5" i="1"/>
  <c r="M8" i="1"/>
</calcChain>
</file>

<file path=xl/sharedStrings.xml><?xml version="1.0" encoding="utf-8"?>
<sst xmlns="http://schemas.openxmlformats.org/spreadsheetml/2006/main" count="195" uniqueCount="45">
  <si>
    <t>Alloy</t>
  </si>
  <si>
    <t>Composition</t>
  </si>
  <si>
    <t>Liquidus (K)</t>
  </si>
  <si>
    <t>RT Density (kg/m3)</t>
  </si>
  <si>
    <t>Power (W)</t>
  </si>
  <si>
    <t>Velocity (m/s)</t>
  </si>
  <si>
    <t>Beam Diam (m)</t>
  </si>
  <si>
    <t>Absorptivity</t>
  </si>
  <si>
    <t>Hf2Mo2Ta48W48 (at%)</t>
  </si>
  <si>
    <t>Ni95Nb5 (wt%)</t>
  </si>
  <si>
    <t>THCD LT (W/mK)</t>
  </si>
  <si>
    <t>Atli (TC)</t>
  </si>
  <si>
    <t>Atli (Paper)</t>
  </si>
  <si>
    <t>Cp, Sheikh (J/kgK)</t>
  </si>
  <si>
    <t>MW (g/mol)</t>
  </si>
  <si>
    <t>Boiling Onset (K)</t>
  </si>
  <si>
    <t>Cp, Sheikh boiling HALF (J/kgK)</t>
  </si>
  <si>
    <t>Cp, Sheikh boiling FULL (J/kgK)</t>
  </si>
  <si>
    <t>Solidus (K)</t>
  </si>
  <si>
    <t>Boiling Full (K)</t>
  </si>
  <si>
    <t>Boiling (f_mass=0.5) (K)</t>
  </si>
  <si>
    <t>Cp, Sheikh boiling ONSET (J/kgK)</t>
  </si>
  <si>
    <t>Hf2Nb4Ta46W48 (at%)</t>
  </si>
  <si>
    <t>Cp, LT (J/kgK)</t>
  </si>
  <si>
    <t>LED (J/m)</t>
  </si>
  <si>
    <t>Classification</t>
  </si>
  <si>
    <t>G</t>
  </si>
  <si>
    <t>K</t>
  </si>
  <si>
    <t>L</t>
  </si>
  <si>
    <t>B</t>
  </si>
  <si>
    <t>Mo5Nb55Ta5W35 (at%)</t>
  </si>
  <si>
    <t>Nb55Ta5W40 (at%)</t>
  </si>
  <si>
    <t>Nb5Ta50V5W40 (at%)</t>
  </si>
  <si>
    <t>Nb60W40 (at%)</t>
  </si>
  <si>
    <t>Mo10Nb55W35 (at%)</t>
  </si>
  <si>
    <t>Hf2Nb12Ta46W40 (at%)</t>
  </si>
  <si>
    <t>W</t>
  </si>
  <si>
    <t>Re</t>
  </si>
  <si>
    <t>Nb</t>
  </si>
  <si>
    <t>Ta</t>
  </si>
  <si>
    <t>Mo</t>
  </si>
  <si>
    <t>Hf</t>
  </si>
  <si>
    <t>V</t>
  </si>
  <si>
    <t>Primary Phase</t>
  </si>
  <si>
    <t>BCC_B2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</si>
</sst>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677377</xdr:colOff>
      <xdr:row>42</xdr:row>
      <xdr:rowOff>30442</xdr:rowOff>
    </xdr:from>
    <xdr:to>
      <xdr:col>24</xdr:col>
      <xdr:colOff>1125334</xdr:colOff>
      <xdr:row>44</xdr:row>
      <xdr:rowOff>128390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3DE655-3083-B65B-254A-DCD3E99B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0114" y="7891074"/>
          <a:ext cx="1196588" cy="472263"/>
        </a:xfrm>
        <a:prstGeom prst="rect">
          <a:avLst/>
        </a:prstGeom>
      </xdr:spPr>
    </xdr:pic>
    <xdr:clientData/>
  </xdr:twoCellAnchor>
  <xdr:twoCellAnchor editAs="oneCell">
    <xdr:from>
      <xdr:col>26</xdr:col>
      <xdr:colOff>247644</xdr:colOff>
      <xdr:row>41</xdr:row>
      <xdr:rowOff>103560</xdr:rowOff>
    </xdr:from>
    <xdr:to>
      <xdr:col>26</xdr:col>
      <xdr:colOff>1380420</xdr:colOff>
      <xdr:row>44</xdr:row>
      <xdr:rowOff>149022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32D2B0-447F-A8EB-99DC-76AA0A0D6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7223" y="7777034"/>
          <a:ext cx="1132776" cy="606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274708</xdr:colOff>
      <xdr:row>42</xdr:row>
      <xdr:rowOff>35840</xdr:rowOff>
    </xdr:from>
    <xdr:to>
      <xdr:col>27</xdr:col>
      <xdr:colOff>1405125</xdr:colOff>
      <xdr:row>45</xdr:row>
      <xdr:rowOff>73942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97AF7-EE6F-4C18-9196-C1387D0B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2287" y="7896472"/>
          <a:ext cx="1130417" cy="59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210175</xdr:colOff>
      <xdr:row>42</xdr:row>
      <xdr:rowOff>6731</xdr:rowOff>
    </xdr:from>
    <xdr:to>
      <xdr:col>25</xdr:col>
      <xdr:colOff>1340592</xdr:colOff>
      <xdr:row>45</xdr:row>
      <xdr:rowOff>44329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D03464-DCC6-4DC1-8B7D-6CA650242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4807" y="7867363"/>
          <a:ext cx="1130417" cy="599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4395-1167-4AD4-AEC9-ADEE70468429}">
  <dimension ref="A1:AC65"/>
  <sheetViews>
    <sheetView tabSelected="1" topLeftCell="AA26" zoomScaleNormal="100" workbookViewId="0">
      <selection activeCell="AE37" sqref="AE37"/>
    </sheetView>
  </sheetViews>
  <sheetFormatPr defaultRowHeight="14.4" x14ac:dyDescent="0.3"/>
  <cols>
    <col min="1" max="1" width="9.5546875" style="1" customWidth="1"/>
    <col min="2" max="9" width="19.44140625" style="1" customWidth="1"/>
    <col min="10" max="10" width="12.109375" style="1" customWidth="1"/>
    <col min="11" max="11" width="9.21875" style="1" customWidth="1"/>
    <col min="12" max="14" width="12.109375" style="1" customWidth="1"/>
    <col min="15" max="15" width="13.33203125" style="1" customWidth="1"/>
    <col min="16" max="16" width="10.5546875" style="1" customWidth="1"/>
    <col min="17" max="17" width="14.109375" style="1" customWidth="1"/>
    <col min="18" max="19" width="16" style="1" customWidth="1"/>
    <col min="20" max="20" width="16.21875" style="1" customWidth="1"/>
    <col min="21" max="21" width="14.44140625" style="1" customWidth="1"/>
    <col min="22" max="22" width="19.44140625" style="1" customWidth="1"/>
    <col min="23" max="23" width="12.44140625" style="1" customWidth="1"/>
    <col min="24" max="24" width="11" style="1" customWidth="1"/>
    <col min="25" max="25" width="18.109375" style="1" customWidth="1"/>
    <col min="26" max="26" width="27.5546875" style="1" customWidth="1"/>
    <col min="27" max="27" width="25.88671875" style="1" customWidth="1"/>
    <col min="28" max="28" width="25.77734375" style="1" customWidth="1"/>
    <col min="29" max="29" width="12.6640625" style="1" customWidth="1"/>
    <col min="30" max="16384" width="8.88671875" style="1"/>
  </cols>
  <sheetData>
    <row r="1" spans="1:29" s="2" customFormat="1" x14ac:dyDescent="0.3">
      <c r="A1" s="4" t="s">
        <v>0</v>
      </c>
      <c r="B1" s="4" t="s">
        <v>1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14</v>
      </c>
      <c r="K1" s="4" t="s">
        <v>4</v>
      </c>
      <c r="L1" s="4" t="s">
        <v>5</v>
      </c>
      <c r="M1" s="4" t="s">
        <v>24</v>
      </c>
      <c r="N1" s="4" t="s">
        <v>25</v>
      </c>
      <c r="O1" s="4" t="s">
        <v>6</v>
      </c>
      <c r="P1" s="4" t="s">
        <v>7</v>
      </c>
      <c r="Q1" s="4" t="s">
        <v>10</v>
      </c>
      <c r="R1" s="4" t="s">
        <v>3</v>
      </c>
      <c r="S1" s="4" t="s">
        <v>18</v>
      </c>
      <c r="T1" s="4" t="s">
        <v>2</v>
      </c>
      <c r="U1" s="4" t="s">
        <v>15</v>
      </c>
      <c r="V1" s="4" t="s">
        <v>20</v>
      </c>
      <c r="W1" s="4" t="s">
        <v>19</v>
      </c>
      <c r="X1" s="5" t="s">
        <v>23</v>
      </c>
      <c r="Y1" s="5" t="s">
        <v>13</v>
      </c>
      <c r="Z1" s="5" t="s">
        <v>21</v>
      </c>
      <c r="AA1" s="5" t="s">
        <v>16</v>
      </c>
      <c r="AB1" s="5" t="s">
        <v>17</v>
      </c>
      <c r="AC1" s="5" t="s">
        <v>43</v>
      </c>
    </row>
    <row r="2" spans="1:29" x14ac:dyDescent="0.3">
      <c r="A2" s="1" t="s">
        <v>12</v>
      </c>
      <c r="B2" s="1" t="s">
        <v>9</v>
      </c>
      <c r="J2" s="1">
        <v>59.793968200000002</v>
      </c>
      <c r="K2" s="1">
        <v>250</v>
      </c>
      <c r="L2" s="1">
        <v>0.5</v>
      </c>
      <c r="M2" s="1">
        <f t="shared" ref="M2:M3" si="0">K2/L2</f>
        <v>500</v>
      </c>
      <c r="O2" s="3">
        <v>6.9999999999999994E-5</v>
      </c>
      <c r="P2" s="1">
        <v>0.501</v>
      </c>
      <c r="Q2" s="1">
        <v>70.400000000000006</v>
      </c>
      <c r="R2" s="1">
        <v>8909</v>
      </c>
      <c r="T2" s="1">
        <v>1703</v>
      </c>
      <c r="U2" s="1">
        <v>3103</v>
      </c>
      <c r="X2" s="1">
        <v>636.19000000000005</v>
      </c>
    </row>
    <row r="3" spans="1:29" x14ac:dyDescent="0.3">
      <c r="A3" s="1" t="s">
        <v>11</v>
      </c>
      <c r="B3" s="1" t="s">
        <v>9</v>
      </c>
      <c r="J3" s="1">
        <v>59.793968200000002</v>
      </c>
      <c r="K3" s="1">
        <v>250</v>
      </c>
      <c r="L3" s="1">
        <v>0.5</v>
      </c>
      <c r="M3" s="1">
        <f t="shared" si="0"/>
        <v>500</v>
      </c>
      <c r="O3" s="3">
        <v>6.9999999999999994E-5</v>
      </c>
      <c r="P3" s="1">
        <v>0.501</v>
      </c>
      <c r="Q3" s="1">
        <v>45.700569999999999</v>
      </c>
      <c r="R3" s="1">
        <v>8894.8914399999994</v>
      </c>
      <c r="S3" s="1">
        <v>1691.29126</v>
      </c>
      <c r="T3" s="1">
        <v>1705.19904</v>
      </c>
      <c r="U3" s="1">
        <v>3171.63375</v>
      </c>
      <c r="V3" s="1">
        <v>3178</v>
      </c>
      <c r="W3" s="1">
        <v>4240.9578799999999</v>
      </c>
      <c r="X3" s="1">
        <v>705.89381000000003</v>
      </c>
      <c r="Y3" s="1">
        <v>740.80656124161317</v>
      </c>
      <c r="Z3" s="1">
        <v>729.04262624585817</v>
      </c>
      <c r="AA3" s="1">
        <v>1848.9033858178923</v>
      </c>
      <c r="AB3" s="1">
        <v>2240.6866332744085</v>
      </c>
    </row>
    <row r="4" spans="1:29" s="7" customFormat="1" x14ac:dyDescent="0.3">
      <c r="A4" s="7">
        <v>0</v>
      </c>
      <c r="B4" s="7" t="s">
        <v>8</v>
      </c>
      <c r="C4" s="11">
        <v>0.48</v>
      </c>
      <c r="D4" s="11">
        <v>0</v>
      </c>
      <c r="E4" s="11">
        <v>0</v>
      </c>
      <c r="F4" s="11">
        <v>0.48</v>
      </c>
      <c r="G4" s="11">
        <v>0.02</v>
      </c>
      <c r="H4" s="11">
        <v>0.02</v>
      </c>
      <c r="I4" s="11">
        <v>0</v>
      </c>
      <c r="J4" s="7">
        <v>180.586792</v>
      </c>
      <c r="K4" s="7">
        <v>250</v>
      </c>
      <c r="L4" s="7">
        <v>0.5</v>
      </c>
      <c r="M4" s="7">
        <f>K4/L4</f>
        <v>500</v>
      </c>
      <c r="N4" s="7" t="s">
        <v>26</v>
      </c>
      <c r="O4" s="6">
        <v>8.0000000000000007E-5</v>
      </c>
      <c r="P4" s="7">
        <v>0.59024308526460278</v>
      </c>
      <c r="Q4" s="7">
        <v>36.272170000000003</v>
      </c>
      <c r="R4" s="7">
        <v>18038.934929999999</v>
      </c>
      <c r="S4" s="7">
        <v>3358.76937</v>
      </c>
      <c r="T4" s="7">
        <v>3454.8464667112039</v>
      </c>
      <c r="U4" s="7">
        <v>5798.0651699999999</v>
      </c>
      <c r="V4" s="7">
        <v>5881.2</v>
      </c>
      <c r="W4" s="7">
        <v>5918.7186000000002</v>
      </c>
      <c r="X4" s="7">
        <v>251.60926000000001</v>
      </c>
      <c r="Y4" s="7">
        <v>264.16541693165289</v>
      </c>
      <c r="Z4" s="7">
        <v>263.95026971471322</v>
      </c>
      <c r="AA4" s="7">
        <v>631.02408745343178</v>
      </c>
      <c r="AB4" s="7">
        <v>1006.3008109087688</v>
      </c>
      <c r="AC4" s="7" t="s">
        <v>44</v>
      </c>
    </row>
    <row r="5" spans="1:29" s="7" customFormat="1" x14ac:dyDescent="0.3">
      <c r="A5" s="7">
        <v>0</v>
      </c>
      <c r="B5" s="7" t="s">
        <v>8</v>
      </c>
      <c r="C5" s="11">
        <v>0.48</v>
      </c>
      <c r="D5" s="11">
        <v>0</v>
      </c>
      <c r="E5" s="11">
        <v>0</v>
      </c>
      <c r="F5" s="11">
        <v>0.48</v>
      </c>
      <c r="G5" s="11">
        <v>0.02</v>
      </c>
      <c r="H5" s="11">
        <v>0.02</v>
      </c>
      <c r="I5" s="11">
        <v>0</v>
      </c>
      <c r="J5" s="7">
        <v>180.586792</v>
      </c>
      <c r="K5" s="7">
        <v>200</v>
      </c>
      <c r="L5" s="7">
        <v>0.2</v>
      </c>
      <c r="M5" s="7">
        <f>K5/L5</f>
        <v>1000</v>
      </c>
      <c r="N5" s="7" t="s">
        <v>26</v>
      </c>
      <c r="O5" s="6">
        <v>8.0000000000000007E-5</v>
      </c>
      <c r="P5" s="7">
        <v>0.59024308526460278</v>
      </c>
      <c r="Q5" s="7">
        <v>36.272170000000003</v>
      </c>
      <c r="R5" s="7">
        <v>18038.934929999999</v>
      </c>
      <c r="S5" s="7">
        <v>3358.76937</v>
      </c>
      <c r="T5" s="7">
        <v>3454.8464667112039</v>
      </c>
      <c r="U5" s="7">
        <v>5798.0651699999999</v>
      </c>
      <c r="V5" s="7">
        <v>5881.2</v>
      </c>
      <c r="W5" s="7">
        <v>5918.7186000000002</v>
      </c>
      <c r="X5" s="7">
        <v>251.60926000000001</v>
      </c>
      <c r="Y5" s="7">
        <v>264.16541693165289</v>
      </c>
      <c r="Z5" s="7">
        <v>263.95026971471322</v>
      </c>
      <c r="AA5" s="7">
        <v>631.02408745343178</v>
      </c>
      <c r="AB5" s="7">
        <v>1006.3008109087688</v>
      </c>
      <c r="AC5" s="7" t="s">
        <v>44</v>
      </c>
    </row>
    <row r="6" spans="1:29" s="7" customFormat="1" x14ac:dyDescent="0.3">
      <c r="A6" s="7">
        <v>0</v>
      </c>
      <c r="B6" s="7" t="s">
        <v>8</v>
      </c>
      <c r="C6" s="11">
        <v>0.48</v>
      </c>
      <c r="D6" s="11">
        <v>0</v>
      </c>
      <c r="E6" s="11">
        <v>0</v>
      </c>
      <c r="F6" s="11">
        <v>0.48</v>
      </c>
      <c r="G6" s="11">
        <v>0.02</v>
      </c>
      <c r="H6" s="11">
        <v>0.02</v>
      </c>
      <c r="I6" s="11">
        <v>0</v>
      </c>
      <c r="J6" s="7">
        <v>180.586792</v>
      </c>
      <c r="K6" s="7">
        <v>250</v>
      </c>
      <c r="L6" s="7">
        <v>1.25</v>
      </c>
      <c r="M6" s="7">
        <f>K6/L6</f>
        <v>200</v>
      </c>
      <c r="N6" s="7" t="s">
        <v>28</v>
      </c>
      <c r="O6" s="6">
        <v>8.0000000000000007E-5</v>
      </c>
      <c r="P6" s="7">
        <v>0.59024308526460278</v>
      </c>
      <c r="Q6" s="7">
        <v>36.272170000000003</v>
      </c>
      <c r="R6" s="7">
        <v>18038.934929999999</v>
      </c>
      <c r="S6" s="7">
        <v>3358.76937</v>
      </c>
      <c r="T6" s="7">
        <v>3454.8464667112039</v>
      </c>
      <c r="U6" s="7">
        <v>5798.0651699999999</v>
      </c>
      <c r="V6" s="7">
        <v>5881.2</v>
      </c>
      <c r="W6" s="7">
        <v>5918.7186000000002</v>
      </c>
      <c r="X6" s="7">
        <v>251.60926000000001</v>
      </c>
      <c r="Y6" s="7">
        <v>264.16541693165289</v>
      </c>
      <c r="Z6" s="7">
        <v>263.95026971471322</v>
      </c>
      <c r="AA6" s="7">
        <v>631.02408745343178</v>
      </c>
      <c r="AB6" s="7">
        <v>1006.3008109087688</v>
      </c>
      <c r="AC6" s="7" t="s">
        <v>44</v>
      </c>
    </row>
    <row r="7" spans="1:29" s="7" customFormat="1" x14ac:dyDescent="0.3">
      <c r="A7" s="7">
        <v>0</v>
      </c>
      <c r="B7" s="7" t="s">
        <v>8</v>
      </c>
      <c r="C7" s="11">
        <v>0.48</v>
      </c>
      <c r="D7" s="11">
        <v>0</v>
      </c>
      <c r="E7" s="11">
        <v>0</v>
      </c>
      <c r="F7" s="11">
        <v>0.48</v>
      </c>
      <c r="G7" s="11">
        <v>0.02</v>
      </c>
      <c r="H7" s="11">
        <v>0.02</v>
      </c>
      <c r="I7" s="11">
        <v>0</v>
      </c>
      <c r="J7" s="7">
        <v>180.586792</v>
      </c>
      <c r="K7" s="7">
        <v>125</v>
      </c>
      <c r="L7" s="7">
        <v>0.25</v>
      </c>
      <c r="M7" s="7">
        <f>K7/L7</f>
        <v>500</v>
      </c>
      <c r="N7" s="7" t="s">
        <v>28</v>
      </c>
      <c r="O7" s="6">
        <v>8.0000000000000007E-5</v>
      </c>
      <c r="P7" s="7">
        <v>0.59024308526460278</v>
      </c>
      <c r="Q7" s="7">
        <v>36.272170000000003</v>
      </c>
      <c r="R7" s="7">
        <v>18038.934929999999</v>
      </c>
      <c r="S7" s="7">
        <v>3358.76937</v>
      </c>
      <c r="T7" s="7">
        <v>3454.8464667112039</v>
      </c>
      <c r="U7" s="7">
        <v>5798.0651699999999</v>
      </c>
      <c r="V7" s="7">
        <v>5881.2</v>
      </c>
      <c r="W7" s="7">
        <v>5918.7186000000002</v>
      </c>
      <c r="X7" s="7">
        <v>251.60926000000001</v>
      </c>
      <c r="Y7" s="7">
        <v>264.16541693165289</v>
      </c>
      <c r="Z7" s="7">
        <v>263.95026971471322</v>
      </c>
      <c r="AA7" s="7">
        <v>631.02408745343178</v>
      </c>
      <c r="AB7" s="7">
        <v>1006.3008109087688</v>
      </c>
      <c r="AC7" s="7" t="s">
        <v>44</v>
      </c>
    </row>
    <row r="8" spans="1:29" s="7" customFormat="1" x14ac:dyDescent="0.3">
      <c r="A8" s="7">
        <v>0</v>
      </c>
      <c r="B8" s="7" t="s">
        <v>8</v>
      </c>
      <c r="C8" s="11">
        <v>0.48</v>
      </c>
      <c r="D8" s="11">
        <v>0</v>
      </c>
      <c r="E8" s="11">
        <v>0</v>
      </c>
      <c r="F8" s="11">
        <v>0.48</v>
      </c>
      <c r="G8" s="11">
        <v>0.02</v>
      </c>
      <c r="H8" s="11">
        <v>0.02</v>
      </c>
      <c r="I8" s="11">
        <v>0</v>
      </c>
      <c r="J8" s="7">
        <v>180.586792</v>
      </c>
      <c r="K8" s="7">
        <v>275</v>
      </c>
      <c r="L8" s="7">
        <v>1.65</v>
      </c>
      <c r="M8" s="7">
        <f>K8/L8</f>
        <v>166.66666666666669</v>
      </c>
      <c r="N8" s="7" t="s">
        <v>29</v>
      </c>
      <c r="O8" s="6">
        <v>8.0000000000000007E-5</v>
      </c>
      <c r="P8" s="7">
        <v>0.59024308526460278</v>
      </c>
      <c r="Q8" s="7">
        <v>36.272170000000003</v>
      </c>
      <c r="R8" s="7">
        <v>18038.934929999999</v>
      </c>
      <c r="S8" s="7">
        <v>3358.76937</v>
      </c>
      <c r="T8" s="7">
        <v>3454.8464667112039</v>
      </c>
      <c r="U8" s="7">
        <v>5798.0651699999999</v>
      </c>
      <c r="V8" s="7">
        <v>5881.2</v>
      </c>
      <c r="W8" s="7">
        <v>5918.7186000000002</v>
      </c>
      <c r="X8" s="7">
        <v>251.60926000000001</v>
      </c>
      <c r="Y8" s="7">
        <v>264.16541693165289</v>
      </c>
      <c r="Z8" s="7">
        <v>263.95026971471322</v>
      </c>
      <c r="AA8" s="7">
        <v>631.02408745343178</v>
      </c>
      <c r="AB8" s="7">
        <v>1006.3008109087688</v>
      </c>
      <c r="AC8" s="7" t="s">
        <v>44</v>
      </c>
    </row>
    <row r="9" spans="1:29" s="7" customFormat="1" x14ac:dyDescent="0.3">
      <c r="A9" s="7">
        <v>0</v>
      </c>
      <c r="B9" s="7" t="s">
        <v>8</v>
      </c>
      <c r="C9" s="11">
        <v>0.48</v>
      </c>
      <c r="D9" s="11">
        <v>0</v>
      </c>
      <c r="E9" s="11">
        <v>0</v>
      </c>
      <c r="F9" s="11">
        <v>0.48</v>
      </c>
      <c r="G9" s="11">
        <v>0.02</v>
      </c>
      <c r="H9" s="11">
        <v>0.02</v>
      </c>
      <c r="I9" s="11">
        <v>0</v>
      </c>
      <c r="J9" s="7">
        <v>180.586792</v>
      </c>
      <c r="K9" s="7">
        <v>305</v>
      </c>
      <c r="L9" s="7">
        <v>1</v>
      </c>
      <c r="M9" s="7">
        <f t="shared" ref="M9:M12" si="1">K9/L9</f>
        <v>305</v>
      </c>
      <c r="N9" s="7" t="s">
        <v>29</v>
      </c>
      <c r="O9" s="6">
        <v>8.0000000000000007E-5</v>
      </c>
      <c r="P9" s="7">
        <v>0.59024308526460278</v>
      </c>
      <c r="Q9" s="7">
        <v>36.272170000000003</v>
      </c>
      <c r="R9" s="7">
        <v>18038.934929999999</v>
      </c>
      <c r="S9" s="7">
        <v>3358.76937</v>
      </c>
      <c r="T9" s="7">
        <v>3454.8464667112039</v>
      </c>
      <c r="U9" s="7">
        <v>5798.0651699999999</v>
      </c>
      <c r="V9" s="7">
        <v>5881.2</v>
      </c>
      <c r="W9" s="7">
        <v>5918.7186000000002</v>
      </c>
      <c r="X9" s="7">
        <v>251.60926000000001</v>
      </c>
      <c r="Y9" s="7">
        <v>264.16541693165289</v>
      </c>
      <c r="Z9" s="7">
        <v>263.95026971471322</v>
      </c>
      <c r="AA9" s="7">
        <v>631.02408745343178</v>
      </c>
      <c r="AB9" s="7">
        <v>1006.3008109087688</v>
      </c>
      <c r="AC9" s="7" t="s">
        <v>44</v>
      </c>
    </row>
    <row r="10" spans="1:29" s="7" customFormat="1" x14ac:dyDescent="0.3">
      <c r="A10" s="7">
        <v>0</v>
      </c>
      <c r="B10" s="7" t="s">
        <v>8</v>
      </c>
      <c r="C10" s="11">
        <v>0.48</v>
      </c>
      <c r="D10" s="11">
        <v>0</v>
      </c>
      <c r="E10" s="11">
        <v>0</v>
      </c>
      <c r="F10" s="11">
        <v>0.48</v>
      </c>
      <c r="G10" s="11">
        <v>0.02</v>
      </c>
      <c r="H10" s="11">
        <v>0.02</v>
      </c>
      <c r="I10" s="11">
        <v>0</v>
      </c>
      <c r="J10" s="7">
        <v>180.586792</v>
      </c>
      <c r="K10" s="7">
        <v>300</v>
      </c>
      <c r="L10" s="7">
        <v>0.3</v>
      </c>
      <c r="M10" s="7">
        <f>K10/L10</f>
        <v>1000</v>
      </c>
      <c r="N10" s="7" t="s">
        <v>27</v>
      </c>
      <c r="O10" s="6">
        <v>8.0000000000000007E-5</v>
      </c>
      <c r="P10" s="7">
        <v>0.59024308526460278</v>
      </c>
      <c r="Q10" s="7">
        <v>36.272170000000003</v>
      </c>
      <c r="R10" s="7">
        <v>18038.934929999999</v>
      </c>
      <c r="S10" s="7">
        <v>3358.76937</v>
      </c>
      <c r="T10" s="7">
        <v>3454.8464667112039</v>
      </c>
      <c r="U10" s="7">
        <v>5798.0651699999999</v>
      </c>
      <c r="V10" s="7">
        <v>5881.2</v>
      </c>
      <c r="W10" s="7">
        <v>5918.7186000000002</v>
      </c>
      <c r="X10" s="7">
        <v>251.60926000000001</v>
      </c>
      <c r="Y10" s="7">
        <v>264.16541693165289</v>
      </c>
      <c r="Z10" s="7">
        <v>263.95026971471322</v>
      </c>
      <c r="AA10" s="7">
        <v>631.02408745343178</v>
      </c>
      <c r="AB10" s="7">
        <v>1006.3008109087688</v>
      </c>
      <c r="AC10" s="7" t="s">
        <v>44</v>
      </c>
    </row>
    <row r="11" spans="1:29" s="7" customFormat="1" x14ac:dyDescent="0.3">
      <c r="A11" s="7">
        <v>0</v>
      </c>
      <c r="B11" s="7" t="s">
        <v>8</v>
      </c>
      <c r="C11" s="11">
        <v>0.48</v>
      </c>
      <c r="D11" s="11">
        <v>0</v>
      </c>
      <c r="E11" s="11">
        <v>0</v>
      </c>
      <c r="F11" s="11">
        <v>0.48</v>
      </c>
      <c r="G11" s="11">
        <v>0.02</v>
      </c>
      <c r="H11" s="11">
        <v>0.02</v>
      </c>
      <c r="I11" s="11">
        <v>0</v>
      </c>
      <c r="J11" s="7">
        <v>180.586792</v>
      </c>
      <c r="K11" s="7">
        <v>250</v>
      </c>
      <c r="L11" s="7">
        <v>0.25</v>
      </c>
      <c r="M11" s="7">
        <f>K11/L11</f>
        <v>1000</v>
      </c>
      <c r="N11" s="7" t="s">
        <v>27</v>
      </c>
      <c r="O11" s="6">
        <v>8.0000000000000007E-5</v>
      </c>
      <c r="P11" s="7">
        <v>0.59024308526460278</v>
      </c>
      <c r="Q11" s="7">
        <v>36.272170000000003</v>
      </c>
      <c r="R11" s="7">
        <v>18038.934929999999</v>
      </c>
      <c r="S11" s="7">
        <v>3358.76937</v>
      </c>
      <c r="T11" s="7">
        <v>3454.8464667112039</v>
      </c>
      <c r="U11" s="7">
        <v>5798.0651699999999</v>
      </c>
      <c r="V11" s="7">
        <v>5881.2</v>
      </c>
      <c r="W11" s="7">
        <v>5918.7186000000002</v>
      </c>
      <c r="X11" s="7">
        <v>251.60926000000001</v>
      </c>
      <c r="Y11" s="7">
        <v>264.16541693165289</v>
      </c>
      <c r="Z11" s="7">
        <v>263.95026971471322</v>
      </c>
      <c r="AA11" s="7">
        <v>631.02408745343178</v>
      </c>
      <c r="AB11" s="7">
        <v>1006.3008109087688</v>
      </c>
      <c r="AC11" s="7" t="s">
        <v>44</v>
      </c>
    </row>
    <row r="12" spans="1:29" s="8" customFormat="1" x14ac:dyDescent="0.3">
      <c r="A12" s="8">
        <v>13</v>
      </c>
      <c r="B12" s="8" t="s">
        <v>22</v>
      </c>
      <c r="C12" s="8">
        <v>0.48</v>
      </c>
      <c r="D12" s="8">
        <v>0</v>
      </c>
      <c r="E12" s="8">
        <v>0.04</v>
      </c>
      <c r="F12" s="8">
        <v>0.46</v>
      </c>
      <c r="G12" s="8">
        <v>0</v>
      </c>
      <c r="H12" s="8">
        <v>0.02</v>
      </c>
      <c r="I12" s="8">
        <v>0</v>
      </c>
      <c r="J12" s="8">
        <v>178.76527400000001</v>
      </c>
      <c r="K12" s="8">
        <v>260</v>
      </c>
      <c r="L12" s="8">
        <v>0.75</v>
      </c>
      <c r="M12" s="8">
        <f t="shared" si="1"/>
        <v>346.66666666666669</v>
      </c>
      <c r="N12" s="8" t="s">
        <v>26</v>
      </c>
      <c r="O12" s="9">
        <v>8.0000000000000007E-5</v>
      </c>
      <c r="P12" s="8">
        <v>0.59072683174871254</v>
      </c>
      <c r="Q12" s="8">
        <v>36.695309999999999</v>
      </c>
      <c r="R12" s="8">
        <v>17839.403040000001</v>
      </c>
      <c r="S12" s="8">
        <v>3344.5308100000002</v>
      </c>
      <c r="T12" s="8">
        <v>3440.6535899999999</v>
      </c>
      <c r="U12" s="8">
        <v>5771.6481999999996</v>
      </c>
      <c r="V12" s="8">
        <v>5878</v>
      </c>
      <c r="W12" s="8">
        <v>5915.1751700000004</v>
      </c>
      <c r="X12" s="8">
        <v>253.36476999999999</v>
      </c>
      <c r="Y12" s="8">
        <v>265.27861344399719</v>
      </c>
      <c r="Z12" s="8">
        <v>265.65331452795965</v>
      </c>
      <c r="AA12" s="8">
        <v>677.57397614516128</v>
      </c>
      <c r="AB12" s="8">
        <v>1015.8830042129521</v>
      </c>
      <c r="AC12" s="8" t="s">
        <v>44</v>
      </c>
    </row>
    <row r="13" spans="1:29" s="8" customFormat="1" x14ac:dyDescent="0.3">
      <c r="A13" s="8">
        <v>13</v>
      </c>
      <c r="B13" s="8" t="s">
        <v>22</v>
      </c>
      <c r="C13" s="8">
        <v>0.48</v>
      </c>
      <c r="D13" s="8">
        <v>0</v>
      </c>
      <c r="E13" s="8">
        <v>0.04</v>
      </c>
      <c r="F13" s="8">
        <v>0.46</v>
      </c>
      <c r="G13" s="8">
        <v>0</v>
      </c>
      <c r="H13" s="8">
        <v>0.02</v>
      </c>
      <c r="I13" s="8">
        <v>0</v>
      </c>
      <c r="J13" s="8">
        <v>178.76527400000001</v>
      </c>
      <c r="K13" s="8">
        <v>200</v>
      </c>
      <c r="L13" s="8">
        <v>0.2</v>
      </c>
      <c r="M13" s="8">
        <f t="shared" ref="M13:M18" si="2">K13/L13</f>
        <v>1000</v>
      </c>
      <c r="N13" s="8" t="s">
        <v>26</v>
      </c>
      <c r="O13" s="9">
        <v>8.0000000000000007E-5</v>
      </c>
      <c r="P13" s="8">
        <v>0.59072683174871254</v>
      </c>
      <c r="Q13" s="8">
        <v>36.695309999999999</v>
      </c>
      <c r="R13" s="8">
        <v>17839.403040000001</v>
      </c>
      <c r="S13" s="8">
        <v>3344.5308100000002</v>
      </c>
      <c r="T13" s="8">
        <v>3440.6535899999999</v>
      </c>
      <c r="U13" s="8">
        <v>5771.6481999999996</v>
      </c>
      <c r="V13" s="8">
        <v>5878</v>
      </c>
      <c r="W13" s="8">
        <v>5915.1751700000004</v>
      </c>
      <c r="X13" s="8">
        <v>253.36476999999999</v>
      </c>
      <c r="Y13" s="8">
        <v>265.27861344399719</v>
      </c>
      <c r="Z13" s="8">
        <v>265.65331452795965</v>
      </c>
      <c r="AA13" s="8">
        <v>677.57397614516128</v>
      </c>
      <c r="AB13" s="8">
        <v>1015.8830042129521</v>
      </c>
      <c r="AC13" s="8" t="s">
        <v>44</v>
      </c>
    </row>
    <row r="14" spans="1:29" s="8" customFormat="1" x14ac:dyDescent="0.3">
      <c r="A14" s="8">
        <v>13</v>
      </c>
      <c r="B14" s="8" t="s">
        <v>22</v>
      </c>
      <c r="C14" s="8">
        <v>0.48</v>
      </c>
      <c r="D14" s="8">
        <v>0</v>
      </c>
      <c r="E14" s="8">
        <v>0.04</v>
      </c>
      <c r="F14" s="8">
        <v>0.46</v>
      </c>
      <c r="G14" s="8">
        <v>0</v>
      </c>
      <c r="H14" s="8">
        <v>0.02</v>
      </c>
      <c r="I14" s="8">
        <v>0</v>
      </c>
      <c r="J14" s="8">
        <v>178.76527400000001</v>
      </c>
      <c r="K14" s="8">
        <v>275</v>
      </c>
      <c r="L14" s="8">
        <v>1</v>
      </c>
      <c r="M14" s="8">
        <f t="shared" si="2"/>
        <v>275</v>
      </c>
      <c r="N14" s="8" t="s">
        <v>26</v>
      </c>
      <c r="O14" s="9">
        <v>8.0000000000000007E-5</v>
      </c>
      <c r="P14" s="8">
        <v>0.59072683174871254</v>
      </c>
      <c r="Q14" s="8">
        <v>36.695309999999999</v>
      </c>
      <c r="R14" s="8">
        <v>17839.403040000001</v>
      </c>
      <c r="S14" s="8">
        <v>3344.5308100000002</v>
      </c>
      <c r="T14" s="8">
        <v>3440.6535899999999</v>
      </c>
      <c r="U14" s="8">
        <v>5771.6481999999996</v>
      </c>
      <c r="V14" s="8">
        <v>5878</v>
      </c>
      <c r="W14" s="8">
        <v>5915.1751700000004</v>
      </c>
      <c r="X14" s="8">
        <v>253.36476999999999</v>
      </c>
      <c r="Y14" s="8">
        <v>265.27861344399719</v>
      </c>
      <c r="Z14" s="8">
        <v>265.65331452795965</v>
      </c>
      <c r="AA14" s="8">
        <v>677.57397614516128</v>
      </c>
      <c r="AB14" s="8">
        <v>1015.8830042129521</v>
      </c>
      <c r="AC14" s="8" t="s">
        <v>44</v>
      </c>
    </row>
    <row r="15" spans="1:29" s="8" customFormat="1" x14ac:dyDescent="0.3">
      <c r="A15" s="8">
        <v>13</v>
      </c>
      <c r="B15" s="8" t="s">
        <v>22</v>
      </c>
      <c r="C15" s="8">
        <v>0.48</v>
      </c>
      <c r="D15" s="8">
        <v>0</v>
      </c>
      <c r="E15" s="8">
        <v>0.04</v>
      </c>
      <c r="F15" s="8">
        <v>0.46</v>
      </c>
      <c r="G15" s="8">
        <v>0</v>
      </c>
      <c r="H15" s="8">
        <v>0.02</v>
      </c>
      <c r="I15" s="8">
        <v>0</v>
      </c>
      <c r="J15" s="8">
        <v>178.76527400000001</v>
      </c>
      <c r="K15" s="8">
        <v>275</v>
      </c>
      <c r="L15" s="8">
        <v>1.65</v>
      </c>
      <c r="M15" s="8">
        <f t="shared" si="2"/>
        <v>166.66666666666669</v>
      </c>
      <c r="N15" s="8" t="s">
        <v>28</v>
      </c>
      <c r="O15" s="9">
        <v>8.0000000000000007E-5</v>
      </c>
      <c r="P15" s="8">
        <v>0.59072683174871254</v>
      </c>
      <c r="Q15" s="8">
        <v>36.695309999999999</v>
      </c>
      <c r="R15" s="8">
        <v>17839.403040000001</v>
      </c>
      <c r="S15" s="8">
        <v>3344.5308100000002</v>
      </c>
      <c r="T15" s="8">
        <v>3440.6535899999999</v>
      </c>
      <c r="U15" s="8">
        <v>5771.6481999999996</v>
      </c>
      <c r="V15" s="8">
        <v>5878</v>
      </c>
      <c r="W15" s="8">
        <v>5915.1751700000004</v>
      </c>
      <c r="X15" s="8">
        <v>253.36476999999999</v>
      </c>
      <c r="Y15" s="8">
        <v>265.27861344399719</v>
      </c>
      <c r="Z15" s="8">
        <v>265.65331452795965</v>
      </c>
      <c r="AA15" s="8">
        <v>677.57397614516128</v>
      </c>
      <c r="AB15" s="8">
        <v>1015.8830042129521</v>
      </c>
      <c r="AC15" s="8" t="s">
        <v>44</v>
      </c>
    </row>
    <row r="16" spans="1:29" s="8" customFormat="1" x14ac:dyDescent="0.3">
      <c r="A16" s="8">
        <v>13</v>
      </c>
      <c r="B16" s="8" t="s">
        <v>22</v>
      </c>
      <c r="C16" s="8">
        <v>0.48</v>
      </c>
      <c r="D16" s="8">
        <v>0</v>
      </c>
      <c r="E16" s="8">
        <v>0.04</v>
      </c>
      <c r="F16" s="8">
        <v>0.46</v>
      </c>
      <c r="G16" s="8">
        <v>0</v>
      </c>
      <c r="H16" s="8">
        <v>0.02</v>
      </c>
      <c r="I16" s="8">
        <v>0</v>
      </c>
      <c r="J16" s="8">
        <v>178.76527400000001</v>
      </c>
      <c r="K16" s="8">
        <v>150</v>
      </c>
      <c r="L16" s="8">
        <v>0.5</v>
      </c>
      <c r="M16" s="8">
        <f t="shared" si="2"/>
        <v>300</v>
      </c>
      <c r="N16" s="8" t="s">
        <v>28</v>
      </c>
      <c r="O16" s="9">
        <v>8.0000000000000007E-5</v>
      </c>
      <c r="P16" s="8">
        <v>0.59072683174871254</v>
      </c>
      <c r="Q16" s="8">
        <v>36.695309999999999</v>
      </c>
      <c r="R16" s="8">
        <v>17839.403040000001</v>
      </c>
      <c r="S16" s="8">
        <v>3344.5308100000002</v>
      </c>
      <c r="T16" s="8">
        <v>3440.6535899999999</v>
      </c>
      <c r="U16" s="8">
        <v>5771.6481999999996</v>
      </c>
      <c r="V16" s="8">
        <v>5878</v>
      </c>
      <c r="W16" s="8">
        <v>5915.1751700000004</v>
      </c>
      <c r="X16" s="8">
        <v>253.36476999999999</v>
      </c>
      <c r="Y16" s="8">
        <v>265.27861344399719</v>
      </c>
      <c r="Z16" s="8">
        <v>265.65331452795965</v>
      </c>
      <c r="AA16" s="8">
        <v>677.57397614516128</v>
      </c>
      <c r="AB16" s="8">
        <v>1015.8830042129521</v>
      </c>
      <c r="AC16" s="8" t="s">
        <v>44</v>
      </c>
    </row>
    <row r="17" spans="1:29" s="8" customFormat="1" x14ac:dyDescent="0.3">
      <c r="A17" s="8">
        <v>13</v>
      </c>
      <c r="B17" s="8" t="s">
        <v>22</v>
      </c>
      <c r="C17" s="8">
        <v>0.48</v>
      </c>
      <c r="D17" s="8">
        <v>0</v>
      </c>
      <c r="E17" s="8">
        <v>0.04</v>
      </c>
      <c r="F17" s="8">
        <v>0.46</v>
      </c>
      <c r="G17" s="8">
        <v>0</v>
      </c>
      <c r="H17" s="8">
        <v>0.02</v>
      </c>
      <c r="I17" s="8">
        <v>0</v>
      </c>
      <c r="J17" s="8">
        <v>178.76527400000001</v>
      </c>
      <c r="K17" s="8">
        <v>250</v>
      </c>
      <c r="L17" s="8">
        <v>0.25</v>
      </c>
      <c r="M17" s="8">
        <f t="shared" si="2"/>
        <v>1000</v>
      </c>
      <c r="N17" s="8" t="s">
        <v>27</v>
      </c>
      <c r="O17" s="9">
        <v>8.0000000000000007E-5</v>
      </c>
      <c r="P17" s="8">
        <v>0.59072683174871254</v>
      </c>
      <c r="Q17" s="8">
        <v>36.695309999999999</v>
      </c>
      <c r="R17" s="8">
        <v>17839.403040000001</v>
      </c>
      <c r="S17" s="8">
        <v>3344.5308100000002</v>
      </c>
      <c r="T17" s="8">
        <v>3440.6535899999999</v>
      </c>
      <c r="U17" s="8">
        <v>5771.6481999999996</v>
      </c>
      <c r="V17" s="8">
        <v>5878</v>
      </c>
      <c r="W17" s="8">
        <v>5915.1751700000004</v>
      </c>
      <c r="X17" s="8">
        <v>253.36476999999999</v>
      </c>
      <c r="Y17" s="8">
        <v>265.27861344399719</v>
      </c>
      <c r="Z17" s="8">
        <v>265.65331452795965</v>
      </c>
      <c r="AA17" s="8">
        <v>677.57397614516128</v>
      </c>
      <c r="AB17" s="8">
        <v>1015.8830042129521</v>
      </c>
      <c r="AC17" s="8" t="s">
        <v>44</v>
      </c>
    </row>
    <row r="18" spans="1:29" s="7" customFormat="1" x14ac:dyDescent="0.3">
      <c r="A18" s="7">
        <v>19</v>
      </c>
      <c r="B18" s="7" t="s">
        <v>30</v>
      </c>
      <c r="C18" s="7">
        <v>0.35</v>
      </c>
      <c r="D18" s="7">
        <v>0</v>
      </c>
      <c r="E18" s="7">
        <v>0.55000000000000004</v>
      </c>
      <c r="F18" s="7">
        <v>0.05</v>
      </c>
      <c r="G18" s="7">
        <v>0.05</v>
      </c>
      <c r="H18" s="7">
        <v>0</v>
      </c>
      <c r="I18" s="7">
        <v>0</v>
      </c>
      <c r="J18" s="7">
        <v>129.28669500000001</v>
      </c>
      <c r="K18" s="7">
        <v>300</v>
      </c>
      <c r="L18" s="7">
        <v>0.3</v>
      </c>
      <c r="M18" s="7">
        <f t="shared" si="2"/>
        <v>1000</v>
      </c>
      <c r="N18" s="7" t="s">
        <v>27</v>
      </c>
      <c r="O18" s="6">
        <v>8.0000000000000007E-5</v>
      </c>
      <c r="P18" s="7">
        <v>0.53370816261958931</v>
      </c>
      <c r="Q18" s="7">
        <v>53.695720000000001</v>
      </c>
      <c r="R18" s="7">
        <v>12847.445809999999</v>
      </c>
      <c r="S18" s="7">
        <v>3016.2178899999999</v>
      </c>
      <c r="T18" s="7">
        <v>3079.58095</v>
      </c>
      <c r="U18" s="7">
        <v>5304.3939700000001</v>
      </c>
      <c r="V18" s="7">
        <v>5538</v>
      </c>
      <c r="W18" s="7">
        <v>5743.8543200000004</v>
      </c>
      <c r="X18" s="7">
        <v>326.74034</v>
      </c>
      <c r="Y18" s="7">
        <v>357.25829365490875</v>
      </c>
      <c r="Z18" s="7">
        <v>354.99580626492326</v>
      </c>
      <c r="AA18" s="7">
        <v>944.45779844656488</v>
      </c>
      <c r="AB18" s="7">
        <v>1357.2175143789009</v>
      </c>
      <c r="AC18" s="7" t="s">
        <v>44</v>
      </c>
    </row>
    <row r="19" spans="1:29" s="7" customFormat="1" x14ac:dyDescent="0.3">
      <c r="A19" s="7">
        <v>19</v>
      </c>
      <c r="B19" s="7" t="s">
        <v>30</v>
      </c>
      <c r="C19" s="7">
        <v>0.35</v>
      </c>
      <c r="D19" s="7">
        <v>0</v>
      </c>
      <c r="E19" s="7">
        <v>0.55000000000000004</v>
      </c>
      <c r="F19" s="7">
        <v>0.05</v>
      </c>
      <c r="G19" s="7">
        <v>0.05</v>
      </c>
      <c r="H19" s="7">
        <v>0</v>
      </c>
      <c r="I19" s="7">
        <v>0</v>
      </c>
      <c r="J19" s="7">
        <v>129.28669500000001</v>
      </c>
      <c r="K19" s="7">
        <v>250</v>
      </c>
      <c r="L19" s="7">
        <v>0.25</v>
      </c>
      <c r="M19" s="7">
        <f t="shared" ref="M19:M26" si="3">K19/L19</f>
        <v>1000</v>
      </c>
      <c r="N19" s="7" t="s">
        <v>27</v>
      </c>
      <c r="O19" s="6">
        <v>8.0000000000000007E-5</v>
      </c>
      <c r="P19" s="7">
        <v>0.53370816261958931</v>
      </c>
      <c r="Q19" s="7">
        <v>53.695720000000001</v>
      </c>
      <c r="R19" s="7">
        <v>12847.445809999999</v>
      </c>
      <c r="S19" s="7">
        <v>3016.2178899999999</v>
      </c>
      <c r="T19" s="7">
        <v>3079.58095</v>
      </c>
      <c r="U19" s="7">
        <v>5304.3939700000001</v>
      </c>
      <c r="V19" s="7">
        <v>5538</v>
      </c>
      <c r="W19" s="7">
        <v>5743.8543200000004</v>
      </c>
      <c r="X19" s="7">
        <v>326.74034</v>
      </c>
      <c r="Y19" s="7">
        <v>357.25829365490875</v>
      </c>
      <c r="Z19" s="7">
        <v>354.99580626492326</v>
      </c>
      <c r="AA19" s="7">
        <v>944.45779844656488</v>
      </c>
      <c r="AB19" s="7">
        <v>1357.2175143789009</v>
      </c>
      <c r="AC19" s="7" t="s">
        <v>44</v>
      </c>
    </row>
    <row r="20" spans="1:29" s="7" customFormat="1" x14ac:dyDescent="0.3">
      <c r="A20" s="7">
        <v>19</v>
      </c>
      <c r="B20" s="7" t="s">
        <v>30</v>
      </c>
      <c r="C20" s="7">
        <v>0.35</v>
      </c>
      <c r="D20" s="7">
        <v>0</v>
      </c>
      <c r="E20" s="7">
        <v>0.55000000000000004</v>
      </c>
      <c r="F20" s="7">
        <v>0.05</v>
      </c>
      <c r="G20" s="7">
        <v>0.05</v>
      </c>
      <c r="H20" s="7">
        <v>0</v>
      </c>
      <c r="I20" s="7">
        <v>0</v>
      </c>
      <c r="J20" s="7">
        <v>129.28669500000001</v>
      </c>
      <c r="K20" s="7">
        <v>200</v>
      </c>
      <c r="L20" s="7">
        <v>0.5</v>
      </c>
      <c r="M20" s="7">
        <f t="shared" si="3"/>
        <v>400</v>
      </c>
      <c r="N20" s="7" t="s">
        <v>26</v>
      </c>
      <c r="O20" s="6">
        <v>8.0000000000000007E-5</v>
      </c>
      <c r="P20" s="7">
        <v>0.53370816261958931</v>
      </c>
      <c r="Q20" s="7">
        <v>53.695720000000001</v>
      </c>
      <c r="R20" s="7">
        <v>12847.445809999999</v>
      </c>
      <c r="S20" s="7">
        <v>3016.2178899999999</v>
      </c>
      <c r="T20" s="7">
        <v>3079.58095</v>
      </c>
      <c r="U20" s="7">
        <v>5304.3939700000001</v>
      </c>
      <c r="V20" s="7">
        <v>5538</v>
      </c>
      <c r="W20" s="7">
        <v>5743.8543200000004</v>
      </c>
      <c r="X20" s="7">
        <v>326.74034</v>
      </c>
      <c r="Y20" s="7">
        <v>357.25829365490875</v>
      </c>
      <c r="Z20" s="7">
        <v>354.99580626492326</v>
      </c>
      <c r="AA20" s="7">
        <v>944.45779844656488</v>
      </c>
      <c r="AB20" s="7">
        <v>1357.2175143789009</v>
      </c>
      <c r="AC20" s="7" t="s">
        <v>44</v>
      </c>
    </row>
    <row r="21" spans="1:29" s="7" customFormat="1" x14ac:dyDescent="0.3">
      <c r="A21" s="7">
        <v>19</v>
      </c>
      <c r="B21" s="7" t="s">
        <v>30</v>
      </c>
      <c r="C21" s="7">
        <v>0.35</v>
      </c>
      <c r="D21" s="7">
        <v>0</v>
      </c>
      <c r="E21" s="7">
        <v>0.55000000000000004</v>
      </c>
      <c r="F21" s="7">
        <v>0.05</v>
      </c>
      <c r="G21" s="7">
        <v>0.05</v>
      </c>
      <c r="H21" s="7">
        <v>0</v>
      </c>
      <c r="I21" s="7">
        <v>0</v>
      </c>
      <c r="J21" s="7">
        <v>129.28669500000001</v>
      </c>
      <c r="K21" s="7">
        <v>260</v>
      </c>
      <c r="L21" s="7">
        <v>0.75</v>
      </c>
      <c r="M21" s="7">
        <f t="shared" si="3"/>
        <v>346.66666666666669</v>
      </c>
      <c r="N21" s="7" t="s">
        <v>26</v>
      </c>
      <c r="O21" s="6">
        <v>8.0000000000000007E-5</v>
      </c>
      <c r="P21" s="7">
        <v>0.53370816261958931</v>
      </c>
      <c r="Q21" s="7">
        <v>53.695720000000001</v>
      </c>
      <c r="R21" s="7">
        <v>12847.445809999999</v>
      </c>
      <c r="S21" s="7">
        <v>3016.2178899999999</v>
      </c>
      <c r="T21" s="7">
        <v>3079.58095</v>
      </c>
      <c r="U21" s="7">
        <v>5304.3939700000001</v>
      </c>
      <c r="V21" s="7">
        <v>5538</v>
      </c>
      <c r="W21" s="7">
        <v>5743.8543200000004</v>
      </c>
      <c r="X21" s="7">
        <v>326.74034</v>
      </c>
      <c r="Y21" s="7">
        <v>357.25829365490875</v>
      </c>
      <c r="Z21" s="7">
        <v>354.99580626492326</v>
      </c>
      <c r="AA21" s="7">
        <v>944.45779844656488</v>
      </c>
      <c r="AB21" s="7">
        <v>1357.2175143789009</v>
      </c>
      <c r="AC21" s="7" t="s">
        <v>44</v>
      </c>
    </row>
    <row r="22" spans="1:29" s="7" customFormat="1" x14ac:dyDescent="0.3">
      <c r="A22" s="7">
        <v>19</v>
      </c>
      <c r="B22" s="7" t="s">
        <v>30</v>
      </c>
      <c r="C22" s="7">
        <v>0.35</v>
      </c>
      <c r="D22" s="7">
        <v>0</v>
      </c>
      <c r="E22" s="7">
        <v>0.55000000000000004</v>
      </c>
      <c r="F22" s="7">
        <v>0.05</v>
      </c>
      <c r="G22" s="7">
        <v>0.05</v>
      </c>
      <c r="H22" s="7">
        <v>0</v>
      </c>
      <c r="I22" s="7">
        <v>0</v>
      </c>
      <c r="J22" s="7">
        <v>129.28669500000001</v>
      </c>
      <c r="K22" s="7">
        <v>200</v>
      </c>
      <c r="L22" s="7">
        <v>0.85</v>
      </c>
      <c r="M22" s="7">
        <f t="shared" si="3"/>
        <v>235.29411764705884</v>
      </c>
      <c r="N22" s="7" t="s">
        <v>28</v>
      </c>
      <c r="O22" s="6">
        <v>8.0000000000000007E-5</v>
      </c>
      <c r="P22" s="7">
        <v>0.53370816261958931</v>
      </c>
      <c r="Q22" s="7">
        <v>53.695720000000001</v>
      </c>
      <c r="R22" s="7">
        <v>12847.445809999999</v>
      </c>
      <c r="S22" s="7">
        <v>3016.2178899999999</v>
      </c>
      <c r="T22" s="7">
        <v>3079.58095</v>
      </c>
      <c r="U22" s="7">
        <v>5304.3939700000001</v>
      </c>
      <c r="V22" s="7">
        <v>5538</v>
      </c>
      <c r="W22" s="7">
        <v>5743.8543200000004</v>
      </c>
      <c r="X22" s="7">
        <v>326.74034</v>
      </c>
      <c r="Y22" s="7">
        <v>357.25829365490875</v>
      </c>
      <c r="Z22" s="7">
        <v>354.99580626492326</v>
      </c>
      <c r="AA22" s="7">
        <v>944.45779844656488</v>
      </c>
      <c r="AB22" s="7">
        <v>1357.2175143789009</v>
      </c>
      <c r="AC22" s="7" t="s">
        <v>44</v>
      </c>
    </row>
    <row r="23" spans="1:29" s="7" customFormat="1" x14ac:dyDescent="0.3">
      <c r="A23" s="7">
        <v>19</v>
      </c>
      <c r="B23" s="7" t="s">
        <v>30</v>
      </c>
      <c r="C23" s="7">
        <v>0.35</v>
      </c>
      <c r="D23" s="7">
        <v>0</v>
      </c>
      <c r="E23" s="7">
        <v>0.55000000000000004</v>
      </c>
      <c r="F23" s="7">
        <v>0.05</v>
      </c>
      <c r="G23" s="7">
        <v>0.05</v>
      </c>
      <c r="H23" s="7">
        <v>0</v>
      </c>
      <c r="I23" s="7">
        <v>0</v>
      </c>
      <c r="J23" s="7">
        <v>129.28669500000001</v>
      </c>
      <c r="K23" s="7">
        <v>125</v>
      </c>
      <c r="L23" s="7">
        <v>0.25</v>
      </c>
      <c r="M23" s="7">
        <f t="shared" si="3"/>
        <v>500</v>
      </c>
      <c r="N23" s="7" t="s">
        <v>28</v>
      </c>
      <c r="O23" s="6">
        <v>8.0000000000000007E-5</v>
      </c>
      <c r="P23" s="7">
        <v>0.53370816261958931</v>
      </c>
      <c r="Q23" s="7">
        <v>53.695720000000001</v>
      </c>
      <c r="R23" s="7">
        <v>12847.445809999999</v>
      </c>
      <c r="S23" s="7">
        <v>3016.2178899999999</v>
      </c>
      <c r="T23" s="7">
        <v>3079.58095</v>
      </c>
      <c r="U23" s="7">
        <v>5304.3939700000001</v>
      </c>
      <c r="V23" s="7">
        <v>5538</v>
      </c>
      <c r="W23" s="7">
        <v>5743.8543200000004</v>
      </c>
      <c r="X23" s="7">
        <v>326.74034</v>
      </c>
      <c r="Y23" s="7">
        <v>357.25829365490875</v>
      </c>
      <c r="Z23" s="7">
        <v>354.99580626492326</v>
      </c>
      <c r="AA23" s="7">
        <v>944.45779844656488</v>
      </c>
      <c r="AB23" s="7">
        <v>1357.2175143789009</v>
      </c>
      <c r="AC23" s="7" t="s">
        <v>44</v>
      </c>
    </row>
    <row r="24" spans="1:29" s="7" customFormat="1" x14ac:dyDescent="0.3">
      <c r="A24" s="7">
        <v>19</v>
      </c>
      <c r="B24" s="7" t="s">
        <v>30</v>
      </c>
      <c r="C24" s="7">
        <v>0.35</v>
      </c>
      <c r="D24" s="7">
        <v>0</v>
      </c>
      <c r="E24" s="7">
        <v>0.55000000000000004</v>
      </c>
      <c r="F24" s="7">
        <v>0.05</v>
      </c>
      <c r="G24" s="7">
        <v>0.05</v>
      </c>
      <c r="H24" s="7">
        <v>0</v>
      </c>
      <c r="I24" s="7">
        <v>0</v>
      </c>
      <c r="J24" s="7">
        <v>129.28669500000001</v>
      </c>
      <c r="K24" s="7">
        <v>250</v>
      </c>
      <c r="L24" s="7">
        <v>1.25</v>
      </c>
      <c r="M24" s="7">
        <f t="shared" si="3"/>
        <v>200</v>
      </c>
      <c r="N24" s="7" t="s">
        <v>29</v>
      </c>
      <c r="O24" s="6">
        <v>8.0000000000000007E-5</v>
      </c>
      <c r="P24" s="7">
        <v>0.53370816261958931</v>
      </c>
      <c r="Q24" s="7">
        <v>53.695720000000001</v>
      </c>
      <c r="R24" s="7">
        <v>12847.445809999999</v>
      </c>
      <c r="S24" s="7">
        <v>3016.2178899999999</v>
      </c>
      <c r="T24" s="7">
        <v>3079.58095</v>
      </c>
      <c r="U24" s="7">
        <v>5304.3939700000001</v>
      </c>
      <c r="V24" s="7">
        <v>5538</v>
      </c>
      <c r="W24" s="7">
        <v>5743.8543200000004</v>
      </c>
      <c r="X24" s="7">
        <v>326.74034</v>
      </c>
      <c r="Y24" s="7">
        <v>357.25829365490875</v>
      </c>
      <c r="Z24" s="7">
        <v>354.99580626492326</v>
      </c>
      <c r="AA24" s="7">
        <v>944.45779844656488</v>
      </c>
      <c r="AB24" s="7">
        <v>1357.2175143789009</v>
      </c>
      <c r="AC24" s="7" t="s">
        <v>44</v>
      </c>
    </row>
    <row r="25" spans="1:29" s="7" customFormat="1" x14ac:dyDescent="0.3">
      <c r="A25" s="7">
        <v>19</v>
      </c>
      <c r="B25" s="7" t="s">
        <v>30</v>
      </c>
      <c r="C25" s="7">
        <v>0.35</v>
      </c>
      <c r="D25" s="7">
        <v>0</v>
      </c>
      <c r="E25" s="7">
        <v>0.55000000000000004</v>
      </c>
      <c r="F25" s="7">
        <v>0.05</v>
      </c>
      <c r="G25" s="7">
        <v>0.05</v>
      </c>
      <c r="H25" s="7">
        <v>0</v>
      </c>
      <c r="I25" s="7">
        <v>0</v>
      </c>
      <c r="J25" s="7">
        <v>129.28669500000001</v>
      </c>
      <c r="K25" s="7">
        <v>305</v>
      </c>
      <c r="L25" s="7">
        <v>1</v>
      </c>
      <c r="M25" s="7">
        <f t="shared" si="3"/>
        <v>305</v>
      </c>
      <c r="N25" s="7" t="s">
        <v>29</v>
      </c>
      <c r="O25" s="6">
        <v>8.0000000000000007E-5</v>
      </c>
      <c r="P25" s="7">
        <v>0.53370816261958931</v>
      </c>
      <c r="Q25" s="7">
        <v>53.695720000000001</v>
      </c>
      <c r="R25" s="7">
        <v>12847.445809999999</v>
      </c>
      <c r="S25" s="7">
        <v>3016.2178899999999</v>
      </c>
      <c r="T25" s="7">
        <v>3079.58095</v>
      </c>
      <c r="U25" s="7">
        <v>5304.3939700000001</v>
      </c>
      <c r="V25" s="7">
        <v>5538</v>
      </c>
      <c r="W25" s="7">
        <v>5743.8543200000004</v>
      </c>
      <c r="X25" s="7">
        <v>326.74034</v>
      </c>
      <c r="Y25" s="7">
        <v>357.25829365490875</v>
      </c>
      <c r="Z25" s="7">
        <v>354.99580626492326</v>
      </c>
      <c r="AA25" s="7">
        <v>944.45779844656488</v>
      </c>
      <c r="AB25" s="7">
        <v>1357.2175143789009</v>
      </c>
      <c r="AC25" s="7" t="s">
        <v>44</v>
      </c>
    </row>
    <row r="26" spans="1:29" s="8" customFormat="1" x14ac:dyDescent="0.3">
      <c r="A26" s="8">
        <v>128</v>
      </c>
      <c r="B26" s="8" t="s">
        <v>31</v>
      </c>
      <c r="C26" s="8">
        <v>0.4</v>
      </c>
      <c r="D26" s="8">
        <v>0</v>
      </c>
      <c r="E26" s="8">
        <v>0.55000000000000004</v>
      </c>
      <c r="F26" s="8">
        <v>0.05</v>
      </c>
      <c r="G26" s="8">
        <v>0</v>
      </c>
      <c r="H26" s="8">
        <v>0</v>
      </c>
      <c r="I26" s="8">
        <v>0</v>
      </c>
      <c r="J26" s="8">
        <v>133.68169499999999</v>
      </c>
      <c r="K26" s="8">
        <v>300</v>
      </c>
      <c r="L26" s="8">
        <v>0.3</v>
      </c>
      <c r="M26" s="8">
        <f t="shared" si="3"/>
        <v>1000</v>
      </c>
      <c r="N26" s="8" t="s">
        <v>27</v>
      </c>
      <c r="O26" s="9">
        <v>8.0000000000000007E-5</v>
      </c>
      <c r="P26" s="8">
        <v>0.54438425937559776</v>
      </c>
      <c r="Q26" s="8">
        <v>54.370150000000002</v>
      </c>
      <c r="R26" s="8">
        <v>13301.710880000001</v>
      </c>
      <c r="S26" s="8">
        <v>3045.0479099999998</v>
      </c>
      <c r="T26" s="8">
        <v>3112.6005399999999</v>
      </c>
      <c r="U26" s="8">
        <v>5336.0506100000002</v>
      </c>
      <c r="V26" s="8">
        <v>5598</v>
      </c>
      <c r="W26" s="8">
        <v>5781.1920899999996</v>
      </c>
      <c r="X26" s="8">
        <v>317.61405000000002</v>
      </c>
      <c r="Y26" s="8">
        <v>345.31298313116929</v>
      </c>
      <c r="Z26" s="8">
        <v>345.04697220379848</v>
      </c>
      <c r="AA26" s="8">
        <v>915.39700165849058</v>
      </c>
      <c r="AB26" s="8">
        <v>1319.8760849521871</v>
      </c>
      <c r="AC26" s="8" t="s">
        <v>44</v>
      </c>
    </row>
    <row r="27" spans="1:29" s="8" customFormat="1" x14ac:dyDescent="0.3">
      <c r="A27" s="8">
        <v>128</v>
      </c>
      <c r="B27" s="8" t="s">
        <v>31</v>
      </c>
      <c r="C27" s="8">
        <v>0.4</v>
      </c>
      <c r="D27" s="8">
        <v>0</v>
      </c>
      <c r="E27" s="8">
        <v>0.55000000000000004</v>
      </c>
      <c r="F27" s="8">
        <v>0.05</v>
      </c>
      <c r="G27" s="8">
        <v>0</v>
      </c>
      <c r="H27" s="8">
        <v>0</v>
      </c>
      <c r="I27" s="8">
        <v>0</v>
      </c>
      <c r="J27" s="8">
        <v>133.68169499999999</v>
      </c>
      <c r="K27" s="8">
        <v>250</v>
      </c>
      <c r="L27" s="8">
        <v>0.25</v>
      </c>
      <c r="M27" s="8">
        <f t="shared" ref="M27:M42" si="4">K27/L27</f>
        <v>1000</v>
      </c>
      <c r="N27" s="8" t="s">
        <v>27</v>
      </c>
      <c r="O27" s="9">
        <v>8.0000000000000007E-5</v>
      </c>
      <c r="P27" s="8">
        <v>0.54438425937559776</v>
      </c>
      <c r="Q27" s="8">
        <v>54.370150000000002</v>
      </c>
      <c r="R27" s="8">
        <v>13301.710880000001</v>
      </c>
      <c r="S27" s="8">
        <v>3045.0479099999998</v>
      </c>
      <c r="T27" s="8">
        <v>3112.6005399999999</v>
      </c>
      <c r="U27" s="8">
        <v>5336.0506100000002</v>
      </c>
      <c r="V27" s="8">
        <v>5598</v>
      </c>
      <c r="W27" s="8">
        <v>5781.1920899999996</v>
      </c>
      <c r="X27" s="8">
        <v>317.61405000000002</v>
      </c>
      <c r="Y27" s="8">
        <v>345.31298313116929</v>
      </c>
      <c r="Z27" s="8">
        <v>345.04697220379848</v>
      </c>
      <c r="AA27" s="8">
        <v>915.39700165849058</v>
      </c>
      <c r="AB27" s="8">
        <v>1319.8760849521871</v>
      </c>
      <c r="AC27" s="8" t="s">
        <v>44</v>
      </c>
    </row>
    <row r="28" spans="1:29" s="8" customFormat="1" x14ac:dyDescent="0.3">
      <c r="A28" s="8">
        <v>128</v>
      </c>
      <c r="B28" s="8" t="s">
        <v>31</v>
      </c>
      <c r="C28" s="8">
        <v>0.4</v>
      </c>
      <c r="D28" s="8">
        <v>0</v>
      </c>
      <c r="E28" s="8">
        <v>0.55000000000000004</v>
      </c>
      <c r="F28" s="8">
        <v>0.05</v>
      </c>
      <c r="G28" s="8">
        <v>0</v>
      </c>
      <c r="H28" s="8">
        <v>0</v>
      </c>
      <c r="I28" s="8">
        <v>0</v>
      </c>
      <c r="J28" s="8">
        <v>133.68169499999999</v>
      </c>
      <c r="K28" s="8">
        <v>305</v>
      </c>
      <c r="L28" s="8">
        <v>1</v>
      </c>
      <c r="M28" s="8">
        <f t="shared" si="4"/>
        <v>305</v>
      </c>
      <c r="N28" s="8" t="s">
        <v>26</v>
      </c>
      <c r="O28" s="9">
        <v>8.0000000000000007E-5</v>
      </c>
      <c r="P28" s="8">
        <v>0.54438425937559776</v>
      </c>
      <c r="Q28" s="8">
        <v>54.370150000000002</v>
      </c>
      <c r="R28" s="8">
        <v>13301.710880000001</v>
      </c>
      <c r="S28" s="8">
        <v>3045.0479099999998</v>
      </c>
      <c r="T28" s="8">
        <v>3112.6005399999999</v>
      </c>
      <c r="U28" s="8">
        <v>5336.0506100000002</v>
      </c>
      <c r="V28" s="8">
        <v>5598</v>
      </c>
      <c r="W28" s="8">
        <v>5781.1920899999996</v>
      </c>
      <c r="X28" s="8">
        <v>317.61405000000002</v>
      </c>
      <c r="Y28" s="8">
        <v>345.31298313116929</v>
      </c>
      <c r="Z28" s="8">
        <v>345.04697220379848</v>
      </c>
      <c r="AA28" s="8">
        <v>915.39700165849058</v>
      </c>
      <c r="AB28" s="8">
        <v>1319.8760849521871</v>
      </c>
      <c r="AC28" s="8" t="s">
        <v>44</v>
      </c>
    </row>
    <row r="29" spans="1:29" s="8" customFormat="1" x14ac:dyDescent="0.3">
      <c r="A29" s="8">
        <v>128</v>
      </c>
      <c r="B29" s="8" t="s">
        <v>31</v>
      </c>
      <c r="C29" s="8">
        <v>0.4</v>
      </c>
      <c r="D29" s="8">
        <v>0</v>
      </c>
      <c r="E29" s="8">
        <v>0.55000000000000004</v>
      </c>
      <c r="F29" s="8">
        <v>0.05</v>
      </c>
      <c r="G29" s="8">
        <v>0</v>
      </c>
      <c r="H29" s="8">
        <v>0</v>
      </c>
      <c r="I29" s="8">
        <v>0</v>
      </c>
      <c r="J29" s="8">
        <v>133.68169499999999</v>
      </c>
      <c r="K29" s="8">
        <v>260</v>
      </c>
      <c r="L29" s="8">
        <v>0.75</v>
      </c>
      <c r="M29" s="8">
        <f t="shared" si="4"/>
        <v>346.66666666666669</v>
      </c>
      <c r="N29" s="8" t="s">
        <v>26</v>
      </c>
      <c r="O29" s="9">
        <v>8.0000000000000007E-5</v>
      </c>
      <c r="P29" s="8">
        <v>0.54438425937559776</v>
      </c>
      <c r="Q29" s="8">
        <v>54.370150000000002</v>
      </c>
      <c r="R29" s="8">
        <v>13301.710880000001</v>
      </c>
      <c r="S29" s="8">
        <v>3045.0479099999998</v>
      </c>
      <c r="T29" s="8">
        <v>3112.6005399999999</v>
      </c>
      <c r="U29" s="8">
        <v>5336.0506100000002</v>
      </c>
      <c r="V29" s="8">
        <v>5598</v>
      </c>
      <c r="W29" s="8">
        <v>5781.1920899999996</v>
      </c>
      <c r="X29" s="8">
        <v>317.61405000000002</v>
      </c>
      <c r="Y29" s="8">
        <v>345.31298313116929</v>
      </c>
      <c r="Z29" s="8">
        <v>345.04697220379848</v>
      </c>
      <c r="AA29" s="8">
        <v>915.39700165849058</v>
      </c>
      <c r="AB29" s="8">
        <v>1319.8760849521871</v>
      </c>
      <c r="AC29" s="8" t="s">
        <v>44</v>
      </c>
    </row>
    <row r="30" spans="1:29" s="8" customFormat="1" x14ac:dyDescent="0.3">
      <c r="A30" s="8">
        <v>128</v>
      </c>
      <c r="B30" s="8" t="s">
        <v>31</v>
      </c>
      <c r="C30" s="8">
        <v>0.4</v>
      </c>
      <c r="D30" s="8">
        <v>0</v>
      </c>
      <c r="E30" s="8">
        <v>0.55000000000000004</v>
      </c>
      <c r="F30" s="8">
        <v>0.05</v>
      </c>
      <c r="G30" s="8">
        <v>0</v>
      </c>
      <c r="H30" s="8">
        <v>0</v>
      </c>
      <c r="I30" s="8">
        <v>0</v>
      </c>
      <c r="J30" s="8">
        <v>133.68169499999999</v>
      </c>
      <c r="K30" s="8">
        <v>200</v>
      </c>
      <c r="L30" s="8">
        <v>0.2</v>
      </c>
      <c r="M30" s="8">
        <f t="shared" si="4"/>
        <v>1000</v>
      </c>
      <c r="N30" s="8" t="s">
        <v>26</v>
      </c>
      <c r="O30" s="9">
        <v>8.0000000000000007E-5</v>
      </c>
      <c r="P30" s="8">
        <v>0.54438425937559776</v>
      </c>
      <c r="Q30" s="8">
        <v>54.370150000000002</v>
      </c>
      <c r="R30" s="8">
        <v>13301.710880000001</v>
      </c>
      <c r="S30" s="8">
        <v>3045.0479099999998</v>
      </c>
      <c r="T30" s="8">
        <v>3112.6005399999999</v>
      </c>
      <c r="U30" s="8">
        <v>5336.0506100000002</v>
      </c>
      <c r="V30" s="8">
        <v>5598</v>
      </c>
      <c r="W30" s="8">
        <v>5781.1920899999996</v>
      </c>
      <c r="X30" s="8">
        <v>317.61405000000002</v>
      </c>
      <c r="Y30" s="8">
        <v>345.31298313116929</v>
      </c>
      <c r="Z30" s="8">
        <v>345.04697220379848</v>
      </c>
      <c r="AA30" s="8">
        <v>915.39700165849058</v>
      </c>
      <c r="AB30" s="8">
        <v>1319.8760849521871</v>
      </c>
      <c r="AC30" s="8" t="s">
        <v>44</v>
      </c>
    </row>
    <row r="31" spans="1:29" s="8" customFormat="1" x14ac:dyDescent="0.3">
      <c r="A31" s="8">
        <v>128</v>
      </c>
      <c r="B31" s="8" t="s">
        <v>31</v>
      </c>
      <c r="C31" s="8">
        <v>0.4</v>
      </c>
      <c r="D31" s="8">
        <v>0</v>
      </c>
      <c r="E31" s="8">
        <v>0.55000000000000004</v>
      </c>
      <c r="F31" s="8">
        <v>0.05</v>
      </c>
      <c r="G31" s="8">
        <v>0</v>
      </c>
      <c r="H31" s="8">
        <v>0</v>
      </c>
      <c r="I31" s="8">
        <v>0</v>
      </c>
      <c r="J31" s="8">
        <v>133.68169499999999</v>
      </c>
      <c r="K31" s="8">
        <v>200</v>
      </c>
      <c r="L31" s="8">
        <v>0.85</v>
      </c>
      <c r="M31" s="8">
        <f t="shared" si="4"/>
        <v>235.29411764705884</v>
      </c>
      <c r="N31" s="8" t="s">
        <v>28</v>
      </c>
      <c r="O31" s="9">
        <v>8.0000000000000007E-5</v>
      </c>
      <c r="P31" s="8">
        <v>0.54438425937559776</v>
      </c>
      <c r="Q31" s="8">
        <v>54.370150000000002</v>
      </c>
      <c r="R31" s="8">
        <v>13301.710880000001</v>
      </c>
      <c r="S31" s="8">
        <v>3045.0479099999998</v>
      </c>
      <c r="T31" s="8">
        <v>3112.6005399999999</v>
      </c>
      <c r="U31" s="8">
        <v>5336.0506100000002</v>
      </c>
      <c r="V31" s="8">
        <v>5598</v>
      </c>
      <c r="W31" s="8">
        <v>5781.1920899999996</v>
      </c>
      <c r="X31" s="8">
        <v>317.61405000000002</v>
      </c>
      <c r="Y31" s="8">
        <v>345.31298313116929</v>
      </c>
      <c r="Z31" s="8">
        <v>345.04697220379848</v>
      </c>
      <c r="AA31" s="8">
        <v>915.39700165849058</v>
      </c>
      <c r="AB31" s="8">
        <v>1319.8760849521871</v>
      </c>
      <c r="AC31" s="8" t="s">
        <v>44</v>
      </c>
    </row>
    <row r="32" spans="1:29" s="8" customFormat="1" x14ac:dyDescent="0.3">
      <c r="A32" s="8">
        <v>128</v>
      </c>
      <c r="B32" s="8" t="s">
        <v>31</v>
      </c>
      <c r="C32" s="8">
        <v>0.4</v>
      </c>
      <c r="D32" s="8">
        <v>0</v>
      </c>
      <c r="E32" s="8">
        <v>0.55000000000000004</v>
      </c>
      <c r="F32" s="8">
        <v>0.05</v>
      </c>
      <c r="G32" s="8">
        <v>0</v>
      </c>
      <c r="H32" s="8">
        <v>0</v>
      </c>
      <c r="I32" s="8">
        <v>0</v>
      </c>
      <c r="J32" s="8">
        <v>133.68169499999999</v>
      </c>
      <c r="K32" s="8">
        <v>250</v>
      </c>
      <c r="L32" s="8">
        <v>1.25</v>
      </c>
      <c r="M32" s="8">
        <f t="shared" si="4"/>
        <v>200</v>
      </c>
      <c r="N32" s="8" t="s">
        <v>28</v>
      </c>
      <c r="O32" s="9">
        <v>8.0000000000000007E-5</v>
      </c>
      <c r="P32" s="8">
        <v>0.54438425937559776</v>
      </c>
      <c r="Q32" s="8">
        <v>54.370150000000002</v>
      </c>
      <c r="R32" s="8">
        <v>13301.710880000001</v>
      </c>
      <c r="S32" s="8">
        <v>3045.0479099999998</v>
      </c>
      <c r="T32" s="8">
        <v>3112.6005399999999</v>
      </c>
      <c r="U32" s="8">
        <v>5336.0506100000002</v>
      </c>
      <c r="V32" s="8">
        <v>5598</v>
      </c>
      <c r="W32" s="8">
        <v>5781.1920899999996</v>
      </c>
      <c r="X32" s="8">
        <v>317.61405000000002</v>
      </c>
      <c r="Y32" s="8">
        <v>345.31298313116929</v>
      </c>
      <c r="Z32" s="8">
        <v>345.04697220379848</v>
      </c>
      <c r="AA32" s="8">
        <v>915.39700165849058</v>
      </c>
      <c r="AB32" s="8">
        <v>1319.8760849521871</v>
      </c>
      <c r="AC32" s="8" t="s">
        <v>44</v>
      </c>
    </row>
    <row r="33" spans="1:29" s="8" customFormat="1" x14ac:dyDescent="0.3">
      <c r="A33" s="8">
        <v>128</v>
      </c>
      <c r="B33" s="8" t="s">
        <v>31</v>
      </c>
      <c r="C33" s="8">
        <v>0.4</v>
      </c>
      <c r="D33" s="8">
        <v>0</v>
      </c>
      <c r="E33" s="8">
        <v>0.55000000000000004</v>
      </c>
      <c r="F33" s="8">
        <v>0.05</v>
      </c>
      <c r="G33" s="8">
        <v>0</v>
      </c>
      <c r="H33" s="8">
        <v>0</v>
      </c>
      <c r="I33" s="8">
        <v>0</v>
      </c>
      <c r="J33" s="8">
        <v>133.68169499999999</v>
      </c>
      <c r="K33" s="8">
        <v>125</v>
      </c>
      <c r="L33" s="8">
        <v>0.25</v>
      </c>
      <c r="M33" s="8">
        <f t="shared" si="4"/>
        <v>500</v>
      </c>
      <c r="N33" s="8" t="s">
        <v>28</v>
      </c>
      <c r="O33" s="9">
        <v>8.0000000000000007E-5</v>
      </c>
      <c r="P33" s="8">
        <v>0.54438425937559776</v>
      </c>
      <c r="Q33" s="8">
        <v>54.370150000000002</v>
      </c>
      <c r="R33" s="8">
        <v>13301.710880000001</v>
      </c>
      <c r="S33" s="8">
        <v>3045.0479099999998</v>
      </c>
      <c r="T33" s="8">
        <v>3112.6005399999999</v>
      </c>
      <c r="U33" s="8">
        <v>5336.0506100000002</v>
      </c>
      <c r="V33" s="8">
        <v>5598</v>
      </c>
      <c r="W33" s="8">
        <v>5781.1920899999996</v>
      </c>
      <c r="X33" s="8">
        <v>317.61405000000002</v>
      </c>
      <c r="Y33" s="8">
        <v>345.31298313116929</v>
      </c>
      <c r="Z33" s="8">
        <v>345.04697220379848</v>
      </c>
      <c r="AA33" s="8">
        <v>915.39700165849058</v>
      </c>
      <c r="AB33" s="8">
        <v>1319.8760849521871</v>
      </c>
      <c r="AC33" s="8" t="s">
        <v>44</v>
      </c>
    </row>
    <row r="34" spans="1:29" s="7" customFormat="1" x14ac:dyDescent="0.3">
      <c r="A34" s="7">
        <v>139</v>
      </c>
      <c r="B34" s="7" t="s">
        <v>32</v>
      </c>
      <c r="C34" s="7">
        <v>0.4</v>
      </c>
      <c r="D34" s="7">
        <v>0</v>
      </c>
      <c r="E34" s="7">
        <v>0.05</v>
      </c>
      <c r="F34" s="7">
        <v>0.5</v>
      </c>
      <c r="G34" s="7">
        <v>0</v>
      </c>
      <c r="H34" s="7">
        <v>0</v>
      </c>
      <c r="I34" s="7">
        <v>0.05</v>
      </c>
      <c r="J34" s="7">
        <v>171.202325</v>
      </c>
      <c r="K34" s="7">
        <v>250</v>
      </c>
      <c r="L34" s="7">
        <v>0.5</v>
      </c>
      <c r="M34" s="7">
        <f t="shared" si="4"/>
        <v>500</v>
      </c>
      <c r="N34" s="7" t="s">
        <v>26</v>
      </c>
      <c r="O34" s="6">
        <v>8.0000000000000007E-5</v>
      </c>
      <c r="P34" s="7">
        <v>0.57199297627236501</v>
      </c>
      <c r="Q34" s="7">
        <v>35.53998</v>
      </c>
      <c r="R34" s="7">
        <v>16771.038430000001</v>
      </c>
      <c r="S34" s="7">
        <v>3293.85671</v>
      </c>
      <c r="T34" s="7">
        <v>3382.9401800000001</v>
      </c>
      <c r="U34" s="7">
        <v>4640.72372</v>
      </c>
      <c r="V34" s="7">
        <v>5820</v>
      </c>
      <c r="W34" s="7">
        <v>5879.7999099999997</v>
      </c>
      <c r="X34" s="7">
        <v>260.17646999999999</v>
      </c>
      <c r="Y34" s="7">
        <v>272.15100415010318</v>
      </c>
      <c r="Z34" s="7">
        <v>272.27671939719897</v>
      </c>
      <c r="AA34" s="7">
        <v>660.39706043643605</v>
      </c>
      <c r="AB34" s="7">
        <v>1045.5395502935542</v>
      </c>
      <c r="AC34" s="7" t="s">
        <v>44</v>
      </c>
    </row>
    <row r="35" spans="1:29" s="7" customFormat="1" x14ac:dyDescent="0.3">
      <c r="A35" s="7">
        <v>139</v>
      </c>
      <c r="B35" s="7" t="s">
        <v>32</v>
      </c>
      <c r="C35" s="7">
        <v>0.4</v>
      </c>
      <c r="D35" s="7">
        <v>0</v>
      </c>
      <c r="E35" s="7">
        <v>0.05</v>
      </c>
      <c r="F35" s="7">
        <v>0.5</v>
      </c>
      <c r="G35" s="7">
        <v>0</v>
      </c>
      <c r="H35" s="7">
        <v>0</v>
      </c>
      <c r="I35" s="7">
        <v>0.05</v>
      </c>
      <c r="J35" s="7">
        <v>171.202325</v>
      </c>
      <c r="K35" s="7">
        <v>200</v>
      </c>
      <c r="L35" s="7">
        <v>0.2</v>
      </c>
      <c r="M35" s="7">
        <f t="shared" si="4"/>
        <v>1000</v>
      </c>
      <c r="N35" s="7" t="s">
        <v>26</v>
      </c>
      <c r="O35" s="6">
        <v>8.0000000000000007E-5</v>
      </c>
      <c r="P35" s="7">
        <v>0.57199297627236501</v>
      </c>
      <c r="Q35" s="7">
        <v>35.53998</v>
      </c>
      <c r="R35" s="7">
        <v>16771.038430000001</v>
      </c>
      <c r="S35" s="7">
        <v>3293.85671</v>
      </c>
      <c r="T35" s="7">
        <v>3382.9401800000001</v>
      </c>
      <c r="U35" s="7">
        <v>4640.72372</v>
      </c>
      <c r="V35" s="7">
        <v>5820</v>
      </c>
      <c r="W35" s="7">
        <v>5879.7999099999997</v>
      </c>
      <c r="X35" s="7">
        <v>260.17646999999999</v>
      </c>
      <c r="Y35" s="7">
        <v>272.15100415010318</v>
      </c>
      <c r="Z35" s="7">
        <v>272.27671939719897</v>
      </c>
      <c r="AA35" s="7">
        <v>660.39706043643605</v>
      </c>
      <c r="AB35" s="7">
        <v>1045.5395502935542</v>
      </c>
      <c r="AC35" s="7" t="s">
        <v>44</v>
      </c>
    </row>
    <row r="36" spans="1:29" s="7" customFormat="1" x14ac:dyDescent="0.3">
      <c r="A36" s="7">
        <v>139</v>
      </c>
      <c r="B36" s="7" t="s">
        <v>32</v>
      </c>
      <c r="C36" s="7">
        <v>0.4</v>
      </c>
      <c r="D36" s="7">
        <v>0</v>
      </c>
      <c r="E36" s="7">
        <v>0.05</v>
      </c>
      <c r="F36" s="7">
        <v>0.5</v>
      </c>
      <c r="G36" s="7">
        <v>0</v>
      </c>
      <c r="H36" s="7">
        <v>0</v>
      </c>
      <c r="I36" s="7">
        <v>0.05</v>
      </c>
      <c r="J36" s="7">
        <v>171.202325</v>
      </c>
      <c r="K36" s="7">
        <v>200</v>
      </c>
      <c r="L36" s="7">
        <v>0.5</v>
      </c>
      <c r="M36" s="7">
        <f>K35/L35</f>
        <v>1000</v>
      </c>
      <c r="N36" s="10" t="s">
        <v>28</v>
      </c>
      <c r="O36" s="6">
        <v>8.0000000000000007E-5</v>
      </c>
      <c r="P36" s="7">
        <v>0.57199297627236501</v>
      </c>
      <c r="Q36" s="7">
        <v>35.53998</v>
      </c>
      <c r="R36" s="7">
        <v>16771.038430000001</v>
      </c>
      <c r="S36" s="7">
        <v>3293.85671</v>
      </c>
      <c r="T36" s="7">
        <v>3382.9401800000001</v>
      </c>
      <c r="U36" s="7">
        <v>4640.72372</v>
      </c>
      <c r="V36" s="7">
        <v>5820</v>
      </c>
      <c r="W36" s="7">
        <v>5879.7999099999997</v>
      </c>
      <c r="X36" s="7">
        <v>260.17646999999999</v>
      </c>
      <c r="Y36" s="7">
        <v>272.15100415010318</v>
      </c>
      <c r="Z36" s="7">
        <v>272.27671939719897</v>
      </c>
      <c r="AA36" s="7">
        <v>660.39706043643605</v>
      </c>
      <c r="AB36" s="7">
        <v>1045.5395502935542</v>
      </c>
      <c r="AC36" s="7" t="s">
        <v>44</v>
      </c>
    </row>
    <row r="37" spans="1:29" s="7" customFormat="1" x14ac:dyDescent="0.3">
      <c r="A37" s="7">
        <v>139</v>
      </c>
      <c r="B37" s="7" t="s">
        <v>32</v>
      </c>
      <c r="C37" s="7">
        <v>0.4</v>
      </c>
      <c r="D37" s="7">
        <v>0</v>
      </c>
      <c r="E37" s="7">
        <v>0.05</v>
      </c>
      <c r="F37" s="7">
        <v>0.5</v>
      </c>
      <c r="G37" s="7">
        <v>0</v>
      </c>
      <c r="H37" s="7">
        <v>0</v>
      </c>
      <c r="I37" s="7">
        <v>0.05</v>
      </c>
      <c r="J37" s="7">
        <v>171.202325</v>
      </c>
      <c r="K37" s="7">
        <v>125</v>
      </c>
      <c r="L37" s="7">
        <v>0.25</v>
      </c>
      <c r="M37" s="7">
        <f>K36/L36</f>
        <v>400</v>
      </c>
      <c r="N37" s="7" t="s">
        <v>28</v>
      </c>
      <c r="O37" s="6">
        <v>8.0000000000000007E-5</v>
      </c>
      <c r="P37" s="7">
        <v>0.57199297627236501</v>
      </c>
      <c r="Q37" s="7">
        <v>35.53998</v>
      </c>
      <c r="R37" s="7">
        <v>16771.038430000001</v>
      </c>
      <c r="S37" s="7">
        <v>3293.85671</v>
      </c>
      <c r="T37" s="7">
        <v>3382.9401800000001</v>
      </c>
      <c r="U37" s="7">
        <v>4640.72372</v>
      </c>
      <c r="V37" s="7">
        <v>5820</v>
      </c>
      <c r="W37" s="7">
        <v>5879.7999099999997</v>
      </c>
      <c r="X37" s="7">
        <v>260.17646999999999</v>
      </c>
      <c r="Y37" s="7">
        <v>272.15100415010318</v>
      </c>
      <c r="Z37" s="7">
        <v>272.27671939719897</v>
      </c>
      <c r="AA37" s="7">
        <v>660.39706043643605</v>
      </c>
      <c r="AB37" s="7">
        <v>1045.5395502935542</v>
      </c>
      <c r="AC37" s="7" t="s">
        <v>44</v>
      </c>
    </row>
    <row r="38" spans="1:29" s="7" customFormat="1" x14ac:dyDescent="0.3">
      <c r="A38" s="7">
        <v>139</v>
      </c>
      <c r="B38" s="7" t="s">
        <v>32</v>
      </c>
      <c r="C38" s="7">
        <v>0.4</v>
      </c>
      <c r="D38" s="7">
        <v>0</v>
      </c>
      <c r="E38" s="7">
        <v>0.05</v>
      </c>
      <c r="F38" s="7">
        <v>0.5</v>
      </c>
      <c r="G38" s="7">
        <v>0</v>
      </c>
      <c r="H38" s="7">
        <v>0</v>
      </c>
      <c r="I38" s="7">
        <v>0.05</v>
      </c>
      <c r="J38" s="7">
        <v>171.202325</v>
      </c>
      <c r="K38" s="7">
        <v>200</v>
      </c>
      <c r="L38" s="7">
        <v>0.85</v>
      </c>
      <c r="M38" s="7">
        <f>K37/L37</f>
        <v>500</v>
      </c>
      <c r="N38" s="7" t="s">
        <v>29</v>
      </c>
      <c r="O38" s="6">
        <v>8.0000000000000007E-5</v>
      </c>
      <c r="P38" s="7">
        <v>0.57199297627236501</v>
      </c>
      <c r="Q38" s="7">
        <v>35.53998</v>
      </c>
      <c r="R38" s="7">
        <v>16771.038430000001</v>
      </c>
      <c r="S38" s="7">
        <v>3293.85671</v>
      </c>
      <c r="T38" s="7">
        <v>3382.9401800000001</v>
      </c>
      <c r="U38" s="7">
        <v>4640.72372</v>
      </c>
      <c r="V38" s="7">
        <v>5820</v>
      </c>
      <c r="W38" s="7">
        <v>5879.7999099999997</v>
      </c>
      <c r="X38" s="7">
        <v>260.17646999999999</v>
      </c>
      <c r="Y38" s="7">
        <v>272.15100415010318</v>
      </c>
      <c r="Z38" s="7">
        <v>272.27671939719897</v>
      </c>
      <c r="AA38" s="7">
        <v>660.39706043643605</v>
      </c>
      <c r="AB38" s="7">
        <v>1045.5395502935542</v>
      </c>
      <c r="AC38" s="7" t="s">
        <v>44</v>
      </c>
    </row>
    <row r="39" spans="1:29" s="7" customFormat="1" x14ac:dyDescent="0.3">
      <c r="A39" s="7">
        <v>139</v>
      </c>
      <c r="B39" s="7" t="s">
        <v>32</v>
      </c>
      <c r="C39" s="7">
        <v>0.4</v>
      </c>
      <c r="D39" s="7">
        <v>0</v>
      </c>
      <c r="E39" s="7">
        <v>0.05</v>
      </c>
      <c r="F39" s="7">
        <v>0.5</v>
      </c>
      <c r="G39" s="7">
        <v>0</v>
      </c>
      <c r="H39" s="7">
        <v>0</v>
      </c>
      <c r="I39" s="7">
        <v>0.05</v>
      </c>
      <c r="J39" s="7">
        <v>171.202325</v>
      </c>
      <c r="K39" s="7">
        <v>305</v>
      </c>
      <c r="L39" s="7">
        <v>1</v>
      </c>
      <c r="M39" s="7">
        <f>K38/L38</f>
        <v>235.29411764705884</v>
      </c>
      <c r="N39" s="7" t="s">
        <v>29</v>
      </c>
      <c r="O39" s="6">
        <v>8.0000000000000007E-5</v>
      </c>
      <c r="P39" s="7">
        <v>0.57199297627236501</v>
      </c>
      <c r="Q39" s="7">
        <v>35.53998</v>
      </c>
      <c r="R39" s="7">
        <v>16771.038430000001</v>
      </c>
      <c r="S39" s="7">
        <v>3293.85671</v>
      </c>
      <c r="T39" s="7">
        <v>3382.9401800000001</v>
      </c>
      <c r="U39" s="7">
        <v>4640.72372</v>
      </c>
      <c r="V39" s="7">
        <v>5820</v>
      </c>
      <c r="W39" s="7">
        <v>5879.7999099999997</v>
      </c>
      <c r="X39" s="7">
        <v>260.17646999999999</v>
      </c>
      <c r="Y39" s="7">
        <v>272.15100415010318</v>
      </c>
      <c r="Z39" s="7">
        <v>272.27671939719897</v>
      </c>
      <c r="AA39" s="7">
        <v>660.39706043643605</v>
      </c>
      <c r="AB39" s="7">
        <v>1045.5395502935542</v>
      </c>
      <c r="AC39" s="7" t="s">
        <v>44</v>
      </c>
    </row>
    <row r="40" spans="1:29" s="7" customFormat="1" x14ac:dyDescent="0.3">
      <c r="A40" s="7">
        <v>139</v>
      </c>
      <c r="B40" s="7" t="s">
        <v>32</v>
      </c>
      <c r="C40" s="7">
        <v>0.4</v>
      </c>
      <c r="D40" s="7">
        <v>0</v>
      </c>
      <c r="E40" s="7">
        <v>0.05</v>
      </c>
      <c r="F40" s="7">
        <v>0.5</v>
      </c>
      <c r="G40" s="7">
        <v>0</v>
      </c>
      <c r="H40" s="7">
        <v>0</v>
      </c>
      <c r="I40" s="7">
        <v>0.05</v>
      </c>
      <c r="J40" s="7">
        <v>171.202325</v>
      </c>
      <c r="K40" s="7">
        <v>300</v>
      </c>
      <c r="L40" s="7">
        <v>0.3</v>
      </c>
      <c r="M40" s="7">
        <f>K39/L39</f>
        <v>305</v>
      </c>
      <c r="N40" s="7" t="s">
        <v>27</v>
      </c>
      <c r="O40" s="6">
        <v>8.0000000000000007E-5</v>
      </c>
      <c r="P40" s="7">
        <v>0.57199297627236501</v>
      </c>
      <c r="Q40" s="7">
        <v>35.53998</v>
      </c>
      <c r="R40" s="7">
        <v>16771.038430000001</v>
      </c>
      <c r="S40" s="7">
        <v>3293.85671</v>
      </c>
      <c r="T40" s="7">
        <v>3382.9401800000001</v>
      </c>
      <c r="U40" s="7">
        <v>4640.72372</v>
      </c>
      <c r="V40" s="7">
        <v>5820</v>
      </c>
      <c r="W40" s="7">
        <v>5879.7999099999997</v>
      </c>
      <c r="X40" s="7">
        <v>260.17646999999999</v>
      </c>
      <c r="Y40" s="7">
        <v>272.15100415010318</v>
      </c>
      <c r="Z40" s="7">
        <v>272.27671939719897</v>
      </c>
      <c r="AA40" s="7">
        <v>660.39706043643605</v>
      </c>
      <c r="AB40" s="7">
        <v>1045.5395502935542</v>
      </c>
      <c r="AC40" s="7" t="s">
        <v>44</v>
      </c>
    </row>
    <row r="41" spans="1:29" s="7" customFormat="1" x14ac:dyDescent="0.3">
      <c r="A41" s="7">
        <v>139</v>
      </c>
      <c r="B41" s="7" t="s">
        <v>32</v>
      </c>
      <c r="C41" s="7">
        <v>0.4</v>
      </c>
      <c r="D41" s="7">
        <v>0</v>
      </c>
      <c r="E41" s="7">
        <v>0.05</v>
      </c>
      <c r="F41" s="7">
        <v>0.5</v>
      </c>
      <c r="G41" s="7">
        <v>0</v>
      </c>
      <c r="H41" s="7">
        <v>0</v>
      </c>
      <c r="I41" s="7">
        <v>0.05</v>
      </c>
      <c r="J41" s="7">
        <v>171.202325</v>
      </c>
      <c r="K41" s="7">
        <v>250</v>
      </c>
      <c r="L41" s="7">
        <v>0.25</v>
      </c>
      <c r="M41" s="7">
        <f t="shared" si="4"/>
        <v>1000</v>
      </c>
      <c r="N41" s="7" t="s">
        <v>27</v>
      </c>
      <c r="O41" s="6">
        <v>8.0000000000000007E-5</v>
      </c>
      <c r="P41" s="7">
        <v>0.57199297627236501</v>
      </c>
      <c r="Q41" s="7">
        <v>35.53998</v>
      </c>
      <c r="R41" s="7">
        <v>16771.038430000001</v>
      </c>
      <c r="S41" s="7">
        <v>3293.85671</v>
      </c>
      <c r="T41" s="7">
        <v>3382.9401800000001</v>
      </c>
      <c r="U41" s="7">
        <v>4640.72372</v>
      </c>
      <c r="V41" s="7">
        <v>5820</v>
      </c>
      <c r="W41" s="7">
        <v>5879.7999099999997</v>
      </c>
      <c r="X41" s="7">
        <v>260.17646999999999</v>
      </c>
      <c r="Y41" s="7">
        <v>272.15100415010318</v>
      </c>
      <c r="Z41" s="7">
        <v>272.27671939719897</v>
      </c>
      <c r="AA41" s="7">
        <v>660.39706043643605</v>
      </c>
      <c r="AB41" s="7">
        <v>1045.5395502935542</v>
      </c>
      <c r="AC41" s="7" t="s">
        <v>44</v>
      </c>
    </row>
    <row r="42" spans="1:29" s="8" customFormat="1" x14ac:dyDescent="0.3">
      <c r="A42" s="8">
        <v>152</v>
      </c>
      <c r="B42" s="8" t="s">
        <v>33</v>
      </c>
      <c r="C42" s="8">
        <v>0.4</v>
      </c>
      <c r="D42" s="8">
        <v>0</v>
      </c>
      <c r="E42" s="8">
        <v>0.6</v>
      </c>
      <c r="F42" s="8">
        <v>0</v>
      </c>
      <c r="G42" s="8">
        <v>0</v>
      </c>
      <c r="H42" s="8">
        <v>0</v>
      </c>
      <c r="I42" s="8">
        <v>0</v>
      </c>
      <c r="J42" s="8">
        <v>129.27959999999999</v>
      </c>
      <c r="K42" s="8">
        <v>260</v>
      </c>
      <c r="L42" s="8">
        <v>0.75</v>
      </c>
      <c r="M42" s="8">
        <f t="shared" si="4"/>
        <v>346.66666666666669</v>
      </c>
      <c r="N42" s="8" t="s">
        <v>26</v>
      </c>
      <c r="O42" s="9">
        <v>8.0000000000000007E-5</v>
      </c>
      <c r="P42" s="8">
        <v>0.53684765011500257</v>
      </c>
    </row>
    <row r="43" spans="1:29" s="8" customFormat="1" x14ac:dyDescent="0.3">
      <c r="A43" s="8">
        <v>152</v>
      </c>
      <c r="B43" s="8" t="s">
        <v>33</v>
      </c>
      <c r="C43" s="8">
        <v>0.4</v>
      </c>
      <c r="D43" s="8">
        <v>0</v>
      </c>
      <c r="E43" s="8">
        <v>0.6</v>
      </c>
      <c r="F43" s="8">
        <v>0</v>
      </c>
      <c r="G43" s="8">
        <v>0</v>
      </c>
      <c r="H43" s="8">
        <v>0</v>
      </c>
      <c r="I43" s="8">
        <v>0</v>
      </c>
      <c r="J43" s="8">
        <v>129.27959999999999</v>
      </c>
      <c r="K43" s="8">
        <v>200</v>
      </c>
      <c r="L43" s="8">
        <v>0.85</v>
      </c>
      <c r="M43" s="8">
        <f t="shared" ref="M43:M44" si="5">K43/L43</f>
        <v>235.29411764705884</v>
      </c>
      <c r="N43" s="8" t="s">
        <v>28</v>
      </c>
      <c r="O43" s="9">
        <v>8.0000000000000007E-5</v>
      </c>
      <c r="P43" s="8">
        <v>0.53684765011500257</v>
      </c>
    </row>
    <row r="44" spans="1:29" s="8" customFormat="1" x14ac:dyDescent="0.3">
      <c r="A44" s="8">
        <v>152</v>
      </c>
      <c r="B44" s="8" t="s">
        <v>33</v>
      </c>
      <c r="C44" s="8">
        <v>0.4</v>
      </c>
      <c r="D44" s="8">
        <v>0</v>
      </c>
      <c r="E44" s="8">
        <v>0.6</v>
      </c>
      <c r="F44" s="8">
        <v>0</v>
      </c>
      <c r="G44" s="8">
        <v>0</v>
      </c>
      <c r="H44" s="8">
        <v>0</v>
      </c>
      <c r="I44" s="8">
        <v>0</v>
      </c>
      <c r="J44" s="8">
        <v>129.27959999999999</v>
      </c>
      <c r="K44" s="8">
        <v>250</v>
      </c>
      <c r="L44" s="8">
        <v>1.25</v>
      </c>
      <c r="M44" s="8">
        <f t="shared" si="5"/>
        <v>200</v>
      </c>
      <c r="N44" s="8" t="s">
        <v>28</v>
      </c>
      <c r="O44" s="9">
        <v>8.0000000000000007E-5</v>
      </c>
      <c r="P44" s="8">
        <v>0.53684765011500257</v>
      </c>
    </row>
    <row r="45" spans="1:29" s="8" customFormat="1" x14ac:dyDescent="0.3">
      <c r="A45" s="8">
        <v>152</v>
      </c>
      <c r="B45" s="8" t="s">
        <v>33</v>
      </c>
      <c r="C45" s="8">
        <v>0.4</v>
      </c>
      <c r="D45" s="8">
        <v>0</v>
      </c>
      <c r="E45" s="8">
        <v>0.6</v>
      </c>
      <c r="F45" s="8">
        <v>0</v>
      </c>
      <c r="G45" s="8">
        <v>0</v>
      </c>
      <c r="H45" s="8">
        <v>0</v>
      </c>
      <c r="I45" s="8">
        <v>0</v>
      </c>
      <c r="J45" s="8">
        <v>129.27959999999999</v>
      </c>
      <c r="K45" s="8">
        <v>200</v>
      </c>
      <c r="L45" s="8">
        <v>0.5</v>
      </c>
      <c r="M45" s="8">
        <f t="shared" ref="M45" si="6">K45/L45</f>
        <v>400</v>
      </c>
      <c r="N45" s="8" t="s">
        <v>28</v>
      </c>
      <c r="O45" s="9">
        <v>8.0000000000000007E-5</v>
      </c>
      <c r="P45" s="8">
        <v>0.53684765011500257</v>
      </c>
    </row>
    <row r="46" spans="1:29" s="8" customFormat="1" x14ac:dyDescent="0.3">
      <c r="A46" s="8">
        <v>152</v>
      </c>
      <c r="B46" s="8" t="s">
        <v>33</v>
      </c>
      <c r="C46" s="8">
        <v>0.4</v>
      </c>
      <c r="D46" s="8">
        <v>0</v>
      </c>
      <c r="E46" s="8">
        <v>0.6</v>
      </c>
      <c r="F46" s="8">
        <v>0</v>
      </c>
      <c r="G46" s="8">
        <v>0</v>
      </c>
      <c r="H46" s="8">
        <v>0</v>
      </c>
      <c r="I46" s="8">
        <v>0</v>
      </c>
      <c r="J46" s="8">
        <v>129.27959999999999</v>
      </c>
      <c r="K46" s="8">
        <v>305</v>
      </c>
      <c r="L46" s="8">
        <v>1</v>
      </c>
      <c r="M46" s="8">
        <f t="shared" ref="M46:M57" si="7">K46/L46</f>
        <v>305</v>
      </c>
      <c r="N46" s="8" t="s">
        <v>29</v>
      </c>
      <c r="O46" s="9">
        <v>8.0000000000000007E-5</v>
      </c>
      <c r="P46" s="8">
        <v>0.53684765011500257</v>
      </c>
    </row>
    <row r="47" spans="1:29" s="8" customFormat="1" x14ac:dyDescent="0.3">
      <c r="A47" s="8">
        <v>152</v>
      </c>
      <c r="B47" s="8" t="s">
        <v>33</v>
      </c>
      <c r="C47" s="8">
        <v>0.4</v>
      </c>
      <c r="D47" s="8">
        <v>0</v>
      </c>
      <c r="E47" s="8">
        <v>0.6</v>
      </c>
      <c r="F47" s="8">
        <v>0</v>
      </c>
      <c r="G47" s="8">
        <v>0</v>
      </c>
      <c r="H47" s="8">
        <v>0</v>
      </c>
      <c r="I47" s="8">
        <v>0</v>
      </c>
      <c r="J47" s="8">
        <v>129.27959999999999</v>
      </c>
      <c r="K47" s="8">
        <v>275</v>
      </c>
      <c r="L47" s="8">
        <v>1</v>
      </c>
      <c r="M47" s="8">
        <f t="shared" si="7"/>
        <v>275</v>
      </c>
      <c r="N47" s="8" t="s">
        <v>29</v>
      </c>
      <c r="O47" s="9">
        <v>8.0000000000000007E-5</v>
      </c>
      <c r="P47" s="8">
        <v>0.53684765011500257</v>
      </c>
    </row>
    <row r="48" spans="1:29" s="8" customFormat="1" x14ac:dyDescent="0.3">
      <c r="A48" s="8">
        <v>152</v>
      </c>
      <c r="B48" s="8" t="s">
        <v>33</v>
      </c>
      <c r="C48" s="8">
        <v>0.4</v>
      </c>
      <c r="D48" s="8">
        <v>0</v>
      </c>
      <c r="E48" s="8">
        <v>0.6</v>
      </c>
      <c r="F48" s="8">
        <v>0</v>
      </c>
      <c r="G48" s="8">
        <v>0</v>
      </c>
      <c r="H48" s="8">
        <v>0</v>
      </c>
      <c r="I48" s="8">
        <v>0</v>
      </c>
      <c r="J48" s="8">
        <v>129.27959999999999</v>
      </c>
      <c r="K48" s="8">
        <v>300</v>
      </c>
      <c r="L48" s="8">
        <v>0.3</v>
      </c>
      <c r="M48" s="8">
        <f t="shared" si="7"/>
        <v>1000</v>
      </c>
      <c r="N48" s="8" t="s">
        <v>27</v>
      </c>
      <c r="O48" s="9">
        <v>8.0000000000000007E-5</v>
      </c>
      <c r="P48" s="8">
        <v>0.53684765011500257</v>
      </c>
    </row>
    <row r="49" spans="1:16" s="8" customFormat="1" x14ac:dyDescent="0.3">
      <c r="A49" s="8">
        <v>152</v>
      </c>
      <c r="B49" s="8" t="s">
        <v>33</v>
      </c>
      <c r="C49" s="8">
        <v>0.4</v>
      </c>
      <c r="D49" s="8">
        <v>0</v>
      </c>
      <c r="E49" s="8">
        <v>0.6</v>
      </c>
      <c r="F49" s="8">
        <v>0</v>
      </c>
      <c r="G49" s="8">
        <v>0</v>
      </c>
      <c r="H49" s="8">
        <v>0</v>
      </c>
      <c r="I49" s="8">
        <v>0</v>
      </c>
      <c r="J49" s="8">
        <v>129.27959999999999</v>
      </c>
      <c r="K49" s="8">
        <v>250</v>
      </c>
      <c r="L49" s="8">
        <v>0.25</v>
      </c>
      <c r="M49" s="8">
        <f t="shared" si="7"/>
        <v>1000</v>
      </c>
      <c r="N49" s="8" t="s">
        <v>27</v>
      </c>
      <c r="O49" s="9">
        <v>8.0000000000000007E-5</v>
      </c>
      <c r="P49" s="8">
        <v>0.53684765011500257</v>
      </c>
    </row>
    <row r="50" spans="1:16" s="7" customFormat="1" x14ac:dyDescent="0.3">
      <c r="A50" s="7">
        <v>164</v>
      </c>
      <c r="B50" s="7" t="s">
        <v>34</v>
      </c>
      <c r="C50" s="7">
        <v>0.35</v>
      </c>
      <c r="D50" s="7">
        <v>0</v>
      </c>
      <c r="E50" s="7">
        <v>0.55000000000000004</v>
      </c>
      <c r="F50" s="7">
        <v>0</v>
      </c>
      <c r="G50" s="7">
        <v>0.1</v>
      </c>
      <c r="H50" s="7">
        <v>0</v>
      </c>
      <c r="I50" s="7">
        <v>0</v>
      </c>
      <c r="J50" s="7">
        <v>125.0363</v>
      </c>
      <c r="K50" s="7">
        <v>300</v>
      </c>
      <c r="L50" s="7">
        <v>0.3</v>
      </c>
      <c r="M50" s="7">
        <f t="shared" si="7"/>
        <v>1000</v>
      </c>
      <c r="N50" s="7" t="s">
        <v>27</v>
      </c>
      <c r="O50" s="6">
        <v>8.0000000000000007E-5</v>
      </c>
      <c r="P50" s="7">
        <v>0.53115788542474751</v>
      </c>
    </row>
    <row r="51" spans="1:16" s="7" customFormat="1" x14ac:dyDescent="0.3">
      <c r="A51" s="7">
        <v>164</v>
      </c>
      <c r="B51" s="7" t="s">
        <v>34</v>
      </c>
      <c r="C51" s="7">
        <v>0.35</v>
      </c>
      <c r="D51" s="7">
        <v>0</v>
      </c>
      <c r="E51" s="7">
        <v>0.55000000000000004</v>
      </c>
      <c r="F51" s="7">
        <v>0</v>
      </c>
      <c r="G51" s="7">
        <v>0.1</v>
      </c>
      <c r="H51" s="7">
        <v>0</v>
      </c>
      <c r="I51" s="7">
        <v>0</v>
      </c>
      <c r="J51" s="7">
        <v>125.0363</v>
      </c>
      <c r="K51" s="7">
        <v>250</v>
      </c>
      <c r="L51" s="7">
        <v>0.25</v>
      </c>
      <c r="M51" s="7">
        <f t="shared" si="7"/>
        <v>1000</v>
      </c>
      <c r="N51" s="7" t="s">
        <v>27</v>
      </c>
      <c r="O51" s="6">
        <v>8.0000000000000007E-5</v>
      </c>
      <c r="P51" s="7">
        <v>0.53115788542474751</v>
      </c>
    </row>
    <row r="52" spans="1:16" s="7" customFormat="1" x14ac:dyDescent="0.3">
      <c r="A52" s="7">
        <v>164</v>
      </c>
      <c r="B52" s="7" t="s">
        <v>34</v>
      </c>
      <c r="C52" s="7">
        <v>0.35</v>
      </c>
      <c r="D52" s="7">
        <v>0</v>
      </c>
      <c r="E52" s="7">
        <v>0.55000000000000004</v>
      </c>
      <c r="F52" s="7">
        <v>0</v>
      </c>
      <c r="G52" s="7">
        <v>0.1</v>
      </c>
      <c r="H52" s="7">
        <v>0</v>
      </c>
      <c r="I52" s="7">
        <v>0</v>
      </c>
      <c r="J52" s="7">
        <v>125.0363</v>
      </c>
      <c r="K52" s="7">
        <v>305</v>
      </c>
      <c r="L52" s="7">
        <v>1</v>
      </c>
      <c r="M52" s="7">
        <f t="shared" si="7"/>
        <v>305</v>
      </c>
      <c r="N52" s="7" t="s">
        <v>26</v>
      </c>
      <c r="O52" s="6">
        <v>8.0000000000000007E-5</v>
      </c>
      <c r="P52" s="7">
        <v>0.53115788542474751</v>
      </c>
    </row>
    <row r="53" spans="1:16" s="7" customFormat="1" x14ac:dyDescent="0.3">
      <c r="A53" s="7">
        <v>164</v>
      </c>
      <c r="B53" s="7" t="s">
        <v>34</v>
      </c>
      <c r="C53" s="7">
        <v>0.35</v>
      </c>
      <c r="D53" s="7">
        <v>0</v>
      </c>
      <c r="E53" s="7">
        <v>0.55000000000000004</v>
      </c>
      <c r="F53" s="7">
        <v>0</v>
      </c>
      <c r="G53" s="7">
        <v>0.1</v>
      </c>
      <c r="H53" s="7">
        <v>0</v>
      </c>
      <c r="I53" s="7">
        <v>0</v>
      </c>
      <c r="J53" s="7">
        <v>125.0363</v>
      </c>
      <c r="K53" s="7">
        <v>260</v>
      </c>
      <c r="L53" s="7">
        <v>0.75</v>
      </c>
      <c r="M53" s="7">
        <f t="shared" si="7"/>
        <v>346.66666666666669</v>
      </c>
      <c r="N53" s="7" t="s">
        <v>26</v>
      </c>
      <c r="O53" s="6">
        <v>8.0000000000000007E-5</v>
      </c>
      <c r="P53" s="7">
        <v>0.53115788542474751</v>
      </c>
    </row>
    <row r="54" spans="1:16" s="7" customFormat="1" x14ac:dyDescent="0.3">
      <c r="A54" s="7">
        <v>164</v>
      </c>
      <c r="B54" s="7" t="s">
        <v>34</v>
      </c>
      <c r="C54" s="7">
        <v>0.35</v>
      </c>
      <c r="D54" s="7">
        <v>0</v>
      </c>
      <c r="E54" s="7">
        <v>0.55000000000000004</v>
      </c>
      <c r="F54" s="7">
        <v>0</v>
      </c>
      <c r="G54" s="7">
        <v>0.1</v>
      </c>
      <c r="H54" s="7">
        <v>0</v>
      </c>
      <c r="I54" s="7">
        <v>0</v>
      </c>
      <c r="J54" s="7">
        <v>125.0363</v>
      </c>
      <c r="K54" s="7">
        <v>200</v>
      </c>
      <c r="L54" s="7">
        <v>0.2</v>
      </c>
      <c r="M54" s="7">
        <f t="shared" si="7"/>
        <v>1000</v>
      </c>
      <c r="N54" s="7" t="s">
        <v>26</v>
      </c>
      <c r="O54" s="6">
        <v>8.0000000000000007E-5</v>
      </c>
      <c r="P54" s="7">
        <v>0.53115788542474751</v>
      </c>
    </row>
    <row r="55" spans="1:16" s="7" customFormat="1" x14ac:dyDescent="0.3">
      <c r="A55" s="7">
        <v>164</v>
      </c>
      <c r="B55" s="7" t="s">
        <v>34</v>
      </c>
      <c r="C55" s="7">
        <v>0.35</v>
      </c>
      <c r="D55" s="7">
        <v>0</v>
      </c>
      <c r="E55" s="7">
        <v>0.55000000000000004</v>
      </c>
      <c r="F55" s="7">
        <v>0</v>
      </c>
      <c r="G55" s="7">
        <v>0.1</v>
      </c>
      <c r="H55" s="7">
        <v>0</v>
      </c>
      <c r="I55" s="7">
        <v>0</v>
      </c>
      <c r="J55" s="7">
        <v>125.0363</v>
      </c>
      <c r="K55" s="7">
        <v>200</v>
      </c>
      <c r="L55" s="7">
        <v>0.85</v>
      </c>
      <c r="M55" s="7">
        <f t="shared" si="7"/>
        <v>235.29411764705884</v>
      </c>
      <c r="N55" s="7" t="s">
        <v>28</v>
      </c>
      <c r="O55" s="6">
        <v>8.0000000000000007E-5</v>
      </c>
      <c r="P55" s="7">
        <v>0.53115788542474751</v>
      </c>
    </row>
    <row r="56" spans="1:16" s="7" customFormat="1" x14ac:dyDescent="0.3">
      <c r="A56" s="7">
        <v>164</v>
      </c>
      <c r="B56" s="7" t="s">
        <v>34</v>
      </c>
      <c r="C56" s="7">
        <v>0.35</v>
      </c>
      <c r="D56" s="7">
        <v>0</v>
      </c>
      <c r="E56" s="7">
        <v>0.55000000000000004</v>
      </c>
      <c r="F56" s="7">
        <v>0</v>
      </c>
      <c r="G56" s="7">
        <v>0.1</v>
      </c>
      <c r="H56" s="7">
        <v>0</v>
      </c>
      <c r="I56" s="7">
        <v>0</v>
      </c>
      <c r="J56" s="7">
        <v>125.0363</v>
      </c>
      <c r="K56" s="7">
        <v>125</v>
      </c>
      <c r="L56" s="7">
        <v>0.25</v>
      </c>
      <c r="M56" s="7">
        <f t="shared" si="7"/>
        <v>500</v>
      </c>
      <c r="N56" s="7" t="s">
        <v>28</v>
      </c>
      <c r="O56" s="6">
        <v>8.0000000000000007E-5</v>
      </c>
      <c r="P56" s="7">
        <v>0.53115788542474751</v>
      </c>
    </row>
    <row r="57" spans="1:16" s="7" customFormat="1" x14ac:dyDescent="0.3">
      <c r="A57" s="7">
        <v>164</v>
      </c>
      <c r="B57" s="7" t="s">
        <v>34</v>
      </c>
      <c r="C57" s="7">
        <v>0.35</v>
      </c>
      <c r="D57" s="7">
        <v>0</v>
      </c>
      <c r="E57" s="7">
        <v>0.55000000000000004</v>
      </c>
      <c r="F57" s="7">
        <v>0</v>
      </c>
      <c r="G57" s="7">
        <v>0.1</v>
      </c>
      <c r="H57" s="7">
        <v>0</v>
      </c>
      <c r="I57" s="7">
        <v>0</v>
      </c>
      <c r="J57" s="7">
        <v>125.0363</v>
      </c>
      <c r="K57" s="7">
        <v>275</v>
      </c>
      <c r="L57" s="7">
        <v>1.65</v>
      </c>
      <c r="M57" s="7">
        <f t="shared" si="7"/>
        <v>166.66666666666669</v>
      </c>
      <c r="N57" s="7" t="s">
        <v>29</v>
      </c>
      <c r="O57" s="6">
        <v>8.0000000000000007E-5</v>
      </c>
      <c r="P57" s="7">
        <v>0.53115788542474751</v>
      </c>
    </row>
    <row r="58" spans="1:16" s="8" customFormat="1" x14ac:dyDescent="0.3">
      <c r="A58" s="8">
        <v>175</v>
      </c>
      <c r="B58" s="8" t="s">
        <v>35</v>
      </c>
      <c r="C58" s="8">
        <v>0.4</v>
      </c>
      <c r="D58" s="8">
        <v>0</v>
      </c>
      <c r="E58" s="8">
        <v>0.12</v>
      </c>
      <c r="F58" s="8">
        <v>0.46</v>
      </c>
      <c r="G58" s="8">
        <v>0</v>
      </c>
      <c r="H58" s="8">
        <v>0.02</v>
      </c>
      <c r="I58" s="8">
        <v>0</v>
      </c>
      <c r="J58" s="8">
        <v>171.490554</v>
      </c>
      <c r="K58" s="8">
        <v>250</v>
      </c>
      <c r="L58" s="8">
        <v>0.5</v>
      </c>
      <c r="M58" s="8">
        <f t="shared" ref="M58:M65" si="8">K58/L58</f>
        <v>500</v>
      </c>
      <c r="N58" s="8" t="s">
        <v>26</v>
      </c>
      <c r="O58" s="9">
        <v>8.0000000000000007E-5</v>
      </c>
      <c r="P58" s="8">
        <v>0.57326326628699675</v>
      </c>
    </row>
    <row r="59" spans="1:16" s="8" customFormat="1" x14ac:dyDescent="0.3">
      <c r="A59" s="8">
        <v>175</v>
      </c>
      <c r="B59" s="8" t="s">
        <v>35</v>
      </c>
      <c r="C59" s="8">
        <v>0.4</v>
      </c>
      <c r="D59" s="8">
        <v>0</v>
      </c>
      <c r="E59" s="8">
        <v>0.12</v>
      </c>
      <c r="F59" s="8">
        <v>0.46</v>
      </c>
      <c r="G59" s="8">
        <v>0</v>
      </c>
      <c r="H59" s="8">
        <v>0.02</v>
      </c>
      <c r="I59" s="8">
        <v>0</v>
      </c>
      <c r="J59" s="8">
        <v>171.490554</v>
      </c>
      <c r="K59" s="8">
        <v>305</v>
      </c>
      <c r="L59" s="8">
        <v>1</v>
      </c>
      <c r="M59" s="8">
        <f t="shared" si="8"/>
        <v>305</v>
      </c>
      <c r="N59" s="8" t="s">
        <v>26</v>
      </c>
      <c r="O59" s="9">
        <v>8.0000000000000007E-5</v>
      </c>
      <c r="P59" s="8">
        <v>0.57326326628699675</v>
      </c>
    </row>
    <row r="60" spans="1:16" s="8" customFormat="1" x14ac:dyDescent="0.3">
      <c r="A60" s="8">
        <v>175</v>
      </c>
      <c r="B60" s="8" t="s">
        <v>35</v>
      </c>
      <c r="C60" s="8">
        <v>0.4</v>
      </c>
      <c r="D60" s="8">
        <v>0</v>
      </c>
      <c r="E60" s="8">
        <v>0.12</v>
      </c>
      <c r="F60" s="8">
        <v>0.46</v>
      </c>
      <c r="G60" s="8">
        <v>0</v>
      </c>
      <c r="H60" s="8">
        <v>0.02</v>
      </c>
      <c r="I60" s="8">
        <v>0</v>
      </c>
      <c r="J60" s="8">
        <v>171.490554</v>
      </c>
      <c r="K60" s="8">
        <v>200</v>
      </c>
      <c r="L60" s="8">
        <v>0.85</v>
      </c>
      <c r="M60" s="8">
        <f t="shared" si="8"/>
        <v>235.29411764705884</v>
      </c>
      <c r="N60" s="8" t="s">
        <v>28</v>
      </c>
      <c r="O60" s="9">
        <v>8.0000000000000007E-5</v>
      </c>
      <c r="P60" s="8">
        <v>0.57326326628699675</v>
      </c>
    </row>
    <row r="61" spans="1:16" s="8" customFormat="1" x14ac:dyDescent="0.3">
      <c r="A61" s="8">
        <v>175</v>
      </c>
      <c r="B61" s="8" t="s">
        <v>35</v>
      </c>
      <c r="C61" s="8">
        <v>0.4</v>
      </c>
      <c r="D61" s="8">
        <v>0</v>
      </c>
      <c r="E61" s="8">
        <v>0.12</v>
      </c>
      <c r="F61" s="8">
        <v>0.46</v>
      </c>
      <c r="G61" s="8">
        <v>0</v>
      </c>
      <c r="H61" s="8">
        <v>0.02</v>
      </c>
      <c r="I61" s="8">
        <v>0</v>
      </c>
      <c r="J61" s="8">
        <v>171.490554</v>
      </c>
      <c r="K61" s="8">
        <v>200</v>
      </c>
      <c r="L61" s="8">
        <v>0.5</v>
      </c>
      <c r="M61" s="8">
        <f t="shared" si="8"/>
        <v>400</v>
      </c>
      <c r="N61" s="8" t="s">
        <v>28</v>
      </c>
      <c r="O61" s="9">
        <v>8.0000000000000007E-5</v>
      </c>
      <c r="P61" s="8">
        <v>0.57326326628699675</v>
      </c>
    </row>
    <row r="62" spans="1:16" s="8" customFormat="1" x14ac:dyDescent="0.3">
      <c r="A62" s="8">
        <v>175</v>
      </c>
      <c r="B62" s="8" t="s">
        <v>35</v>
      </c>
      <c r="C62" s="8">
        <v>0.4</v>
      </c>
      <c r="D62" s="8">
        <v>0</v>
      </c>
      <c r="E62" s="8">
        <v>0.12</v>
      </c>
      <c r="F62" s="8">
        <v>0.46</v>
      </c>
      <c r="G62" s="8">
        <v>0</v>
      </c>
      <c r="H62" s="8">
        <v>0.02</v>
      </c>
      <c r="I62" s="8">
        <v>0</v>
      </c>
      <c r="J62" s="8">
        <v>171.490554</v>
      </c>
      <c r="K62" s="8">
        <v>250</v>
      </c>
      <c r="L62" s="8">
        <v>1.25</v>
      </c>
      <c r="M62" s="8">
        <f t="shared" si="8"/>
        <v>200</v>
      </c>
      <c r="N62" s="8" t="s">
        <v>29</v>
      </c>
      <c r="O62" s="9">
        <v>8.0000000000000007E-5</v>
      </c>
      <c r="P62" s="8">
        <v>0.57326326628699675</v>
      </c>
    </row>
    <row r="63" spans="1:16" s="8" customFormat="1" x14ac:dyDescent="0.3">
      <c r="A63" s="8">
        <v>175</v>
      </c>
      <c r="B63" s="8" t="s">
        <v>35</v>
      </c>
      <c r="C63" s="8">
        <v>0.4</v>
      </c>
      <c r="D63" s="8">
        <v>0</v>
      </c>
      <c r="E63" s="8">
        <v>0.12</v>
      </c>
      <c r="F63" s="8">
        <v>0.46</v>
      </c>
      <c r="G63" s="8">
        <v>0</v>
      </c>
      <c r="H63" s="8">
        <v>0.02</v>
      </c>
      <c r="I63" s="8">
        <v>0</v>
      </c>
      <c r="J63" s="8">
        <v>171.490554</v>
      </c>
      <c r="K63" s="8">
        <v>275</v>
      </c>
      <c r="L63" s="8">
        <v>1.65</v>
      </c>
      <c r="M63" s="8">
        <f t="shared" si="8"/>
        <v>166.66666666666669</v>
      </c>
      <c r="N63" s="8" t="s">
        <v>29</v>
      </c>
      <c r="O63" s="9">
        <v>8.0000000000000007E-5</v>
      </c>
      <c r="P63" s="8">
        <v>0.57326326628699675</v>
      </c>
    </row>
    <row r="64" spans="1:16" s="8" customFormat="1" x14ac:dyDescent="0.3">
      <c r="A64" s="8">
        <v>175</v>
      </c>
      <c r="B64" s="8" t="s">
        <v>35</v>
      </c>
      <c r="C64" s="8">
        <v>0.4</v>
      </c>
      <c r="D64" s="8">
        <v>0</v>
      </c>
      <c r="E64" s="8">
        <v>0.12</v>
      </c>
      <c r="F64" s="8">
        <v>0.46</v>
      </c>
      <c r="G64" s="8">
        <v>0</v>
      </c>
      <c r="H64" s="8">
        <v>0.02</v>
      </c>
      <c r="I64" s="8">
        <v>0</v>
      </c>
      <c r="J64" s="8">
        <v>171.490554</v>
      </c>
      <c r="K64" s="8">
        <v>300</v>
      </c>
      <c r="L64" s="8">
        <v>0.3</v>
      </c>
      <c r="M64" s="8">
        <f t="shared" si="8"/>
        <v>1000</v>
      </c>
      <c r="N64" s="8" t="s">
        <v>27</v>
      </c>
      <c r="O64" s="9">
        <v>8.0000000000000007E-5</v>
      </c>
      <c r="P64" s="8">
        <v>0.57326326628699675</v>
      </c>
    </row>
    <row r="65" spans="1:16" s="8" customFormat="1" x14ac:dyDescent="0.3">
      <c r="A65" s="8">
        <v>175</v>
      </c>
      <c r="B65" s="8" t="s">
        <v>35</v>
      </c>
      <c r="C65" s="8">
        <v>0.4</v>
      </c>
      <c r="D65" s="8">
        <v>0</v>
      </c>
      <c r="E65" s="8">
        <v>0.12</v>
      </c>
      <c r="F65" s="8">
        <v>0.46</v>
      </c>
      <c r="G65" s="8">
        <v>0</v>
      </c>
      <c r="H65" s="8">
        <v>0.02</v>
      </c>
      <c r="I65" s="8">
        <v>0</v>
      </c>
      <c r="J65" s="8">
        <v>171.490554</v>
      </c>
      <c r="K65" s="8">
        <v>250</v>
      </c>
      <c r="L65" s="8">
        <v>0.25</v>
      </c>
      <c r="M65" s="8">
        <f t="shared" si="8"/>
        <v>1000</v>
      </c>
      <c r="N65" s="8" t="s">
        <v>27</v>
      </c>
      <c r="O65" s="9">
        <v>8.0000000000000007E-5</v>
      </c>
      <c r="P65" s="8">
        <v>0.57326326628699675</v>
      </c>
    </row>
  </sheetData>
  <phoneticPr fontId="2" type="noConversion"/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2026-05-13T01:58:58Z</dcterms:created>
  <dcterms:modified xsi:type="dcterms:W3CDTF">2026-07-23T04:50:24Z</dcterms:modified>
</cp:coreProperties>
</file>