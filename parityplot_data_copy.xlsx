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yleswartz\projects\ETtoKGT\"/>
    </mc:Choice>
  </mc:AlternateContent>
  <xr:revisionPtr revIDLastSave="0" documentId="13_ncr:1_{BB3472FA-A1C6-48B5-80E7-F1FB69BCC10A}" xr6:coauthVersionLast="47" xr6:coauthVersionMax="47" xr10:uidLastSave="{00000000-0000-0000-0000-000000000000}"/>
  <bookViews>
    <workbookView xWindow="5772" yWindow="372" windowWidth="11712" windowHeight="13776" xr2:uid="{6AD04E01-6D7C-49D4-A1DF-21F66F85F0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5" i="1" l="1" a="1"/>
  <c r="U5" i="1"/>
  <c r="U4" i="1" a="1"/>
  <c r="U3" i="1" a="1"/>
  <c r="U2" i="1" a="1"/>
  <c r="U4" i="1" l="1"/>
  <c r="U3" i="1"/>
  <c r="U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<sst xmlns="http://schemas.openxmlformats.org/spreadsheetml/2006/main" count="57" uniqueCount="38">
  <si>
    <t>Alloy</t>
  </si>
  <si>
    <t>Composition</t>
  </si>
  <si>
    <t>Classification</t>
  </si>
  <si>
    <t>Hf2Mo2Ta48W48 (at%)</t>
  </si>
  <si>
    <t>G</t>
  </si>
  <si>
    <t>L</t>
  </si>
  <si>
    <t>B</t>
  </si>
  <si>
    <t>K</t>
  </si>
  <si>
    <t>reference</t>
  </si>
  <si>
    <t>Good:</t>
  </si>
  <si>
    <t>Circle</t>
  </si>
  <si>
    <t>Star</t>
  </si>
  <si>
    <t>LOF:</t>
  </si>
  <si>
    <t>X</t>
  </si>
  <si>
    <t>Balling</t>
  </si>
  <si>
    <t>Keyholing</t>
  </si>
  <si>
    <t>Triangle</t>
  </si>
  <si>
    <t>liquidus</t>
  </si>
  <si>
    <t>width_TC</t>
  </si>
  <si>
    <t>depth_TC</t>
  </si>
  <si>
    <t>length_TC</t>
  </si>
  <si>
    <t>Peak Temp (K)</t>
  </si>
  <si>
    <t>Power (W)</t>
  </si>
  <si>
    <t>Velocity (m/s)</t>
  </si>
  <si>
    <t>Cp Method</t>
  </si>
  <si>
    <t>length_ET</t>
  </si>
  <si>
    <t>width_ET</t>
  </si>
  <si>
    <t>depth_ET</t>
  </si>
  <si>
    <t>Min Temp (K)</t>
  </si>
  <si>
    <t>MAE:</t>
  </si>
  <si>
    <t>RMSE:</t>
  </si>
  <si>
    <t>Depth</t>
  </si>
  <si>
    <t>MAPE:</t>
  </si>
  <si>
    <t>Bias:</t>
  </si>
  <si>
    <t>Mean absolute percentage error</t>
  </si>
  <si>
    <t>Root mean square error (penalizes large errors)</t>
  </si>
  <si>
    <t>Mean absolute error (absolute difference)</t>
  </si>
  <si>
    <t>&gt; 0 . ET overpredicts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</si>
</sst>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ET</a:t>
            </a:r>
            <a:r>
              <a:rPr lang="en-US" sz="1200" baseline="0"/>
              <a:t> vs TCAM depth (um) using Cp @ Liquidus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Sheet1!$Q$2:$Q$3</c:f>
              <c:numCache>
                <c:formatCode>General</c:formatCode>
                <c:ptCount val="2"/>
                <c:pt idx="0">
                  <c:v>-200</c:v>
                </c:pt>
                <c:pt idx="1">
                  <c:v>500</c:v>
                </c:pt>
              </c:numCache>
            </c:numRef>
          </c:xVal>
          <c:yVal>
            <c:numRef>
              <c:f>Sheet1!$R$2:$R$3</c:f>
              <c:numCache>
                <c:formatCode>General</c:formatCode>
                <c:ptCount val="2"/>
                <c:pt idx="0">
                  <c:v>-200</c:v>
                </c:pt>
                <c:pt idx="1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0019-43BD-8A24-C9F4C2B89019}"/>
            </c:ext>
          </c:extLst>
        </c:ser>
        <c:ser>
          <c:idx val="0"/>
          <c:order val="1"/>
          <c:tx>
            <c:v>Alloy 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diamond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0019-43BD-8A24-C9F4C2B89019}"/>
              </c:ext>
            </c:extLst>
          </c:dPt>
          <c:dPt>
            <c:idx val="1"/>
            <c:marker>
              <c:symbol val="diamond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0019-43BD-8A24-C9F4C2B89019}"/>
              </c:ext>
            </c:extLst>
          </c:dPt>
          <c:dPt>
            <c:idx val="2"/>
            <c:marker>
              <c:symbol val="x"/>
              <c:size val="5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0019-43BD-8A24-C9F4C2B89019}"/>
              </c:ext>
            </c:extLst>
          </c:dPt>
          <c:dPt>
            <c:idx val="3"/>
            <c:marker>
              <c:symbol val="x"/>
              <c:size val="5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0019-43BD-8A24-C9F4C2B89019}"/>
              </c:ext>
            </c:extLst>
          </c:dPt>
          <c:dPt>
            <c:idx val="6"/>
            <c:marker>
              <c:symbol val="triang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20D8-44DE-89A5-D5DBBDDA3D1C}"/>
              </c:ext>
            </c:extLst>
          </c:dPt>
          <c:dPt>
            <c:idx val="7"/>
            <c:marker>
              <c:symbol val="triang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0019-43BD-8A24-C9F4C2B89019}"/>
              </c:ext>
            </c:extLst>
          </c:dPt>
          <c:xVal>
            <c:numRef>
              <c:f>Sheet1!$H$2:$H$9</c:f>
              <c:numCache>
                <c:formatCode>General</c:formatCode>
                <c:ptCount val="8"/>
                <c:pt idx="0">
                  <c:v>30.814580647985</c:v>
                </c:pt>
                <c:pt idx="1">
                  <c:v>38.307514798417003</c:v>
                </c:pt>
                <c:pt idx="2">
                  <c:v>22.226829024813998</c:v>
                </c:pt>
                <c:pt idx="3">
                  <c:v>27.260981313365001</c:v>
                </c:pt>
                <c:pt idx="4">
                  <c:v>20.511244252676001</c:v>
                </c:pt>
                <c:pt idx="5">
                  <c:v>24.665986425126999</c:v>
                </c:pt>
                <c:pt idx="6">
                  <c:v>37.482490819878997</c:v>
                </c:pt>
                <c:pt idx="7">
                  <c:v>37.601442700705</c:v>
                </c:pt>
              </c:numCache>
            </c:numRef>
          </c:xVal>
          <c:yVal>
            <c:numRef>
              <c:f>Sheet1!$M$2:$M$9</c:f>
              <c:numCache>
                <c:formatCode>General</c:formatCode>
                <c:ptCount val="8"/>
                <c:pt idx="0">
                  <c:v>342</c:v>
                </c:pt>
                <c:pt idx="1">
                  <c:v>313</c:v>
                </c:pt>
                <c:pt idx="2">
                  <c:v>284</c:v>
                </c:pt>
                <c:pt idx="3">
                  <c:v>201</c:v>
                </c:pt>
                <c:pt idx="4">
                  <c:v>292</c:v>
                </c:pt>
                <c:pt idx="5">
                  <c:v>373</c:v>
                </c:pt>
                <c:pt idx="6">
                  <c:v>432</c:v>
                </c:pt>
                <c:pt idx="7">
                  <c:v>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0019-43BD-8A24-C9F4C2B89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529312"/>
        <c:axId val="1985674320"/>
      </c:scatterChart>
      <c:valAx>
        <c:axId val="1967529312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TCAM Depth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674320"/>
        <c:crosses val="autoZero"/>
        <c:crossBetween val="midCat"/>
        <c:majorUnit val="10"/>
      </c:valAx>
      <c:valAx>
        <c:axId val="1985674320"/>
        <c:scaling>
          <c:orientation val="minMax"/>
          <c:max val="9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ET Depth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52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ET</a:t>
            </a:r>
            <a:r>
              <a:rPr lang="en-US" baseline="0"/>
              <a:t> vs TCAM width (um) using Cp @ Liquidus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Sheet1!$Q$2:$Q$3</c:f>
              <c:numCache>
                <c:formatCode>General</c:formatCode>
                <c:ptCount val="2"/>
                <c:pt idx="0">
                  <c:v>-200</c:v>
                </c:pt>
                <c:pt idx="1">
                  <c:v>500</c:v>
                </c:pt>
              </c:numCache>
            </c:numRef>
          </c:xVal>
          <c:yVal>
            <c:numRef>
              <c:f>Sheet1!$R$2:$R$3</c:f>
              <c:numCache>
                <c:formatCode>General</c:formatCode>
                <c:ptCount val="2"/>
                <c:pt idx="0">
                  <c:v>-200</c:v>
                </c:pt>
                <c:pt idx="1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3E-4F1E-A835-472C29B03C32}"/>
            </c:ext>
          </c:extLst>
        </c:ser>
        <c:ser>
          <c:idx val="0"/>
          <c:order val="1"/>
          <c:tx>
            <c:v>Alloy 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diamond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C3E-4F1E-A835-472C29B03C32}"/>
              </c:ext>
            </c:extLst>
          </c:dPt>
          <c:dPt>
            <c:idx val="1"/>
            <c:marker>
              <c:symbol val="diamond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C3E-4F1E-A835-472C29B03C32}"/>
              </c:ext>
            </c:extLst>
          </c:dPt>
          <c:dPt>
            <c:idx val="2"/>
            <c:marker>
              <c:symbol val="x"/>
              <c:size val="5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DC3E-4F1E-A835-472C29B03C32}"/>
              </c:ext>
            </c:extLst>
          </c:dPt>
          <c:dPt>
            <c:idx val="3"/>
            <c:marker>
              <c:symbol val="x"/>
              <c:size val="5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DC3E-4F1E-A835-472C29B03C32}"/>
              </c:ext>
            </c:extLst>
          </c:dPt>
          <c:dPt>
            <c:idx val="6"/>
            <c:marker>
              <c:symbol val="triang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DC3E-4F1E-A835-472C29B03C32}"/>
              </c:ext>
            </c:extLst>
          </c:dPt>
          <c:dPt>
            <c:idx val="7"/>
            <c:marker>
              <c:symbol val="triang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C3E-4F1E-A835-472C29B03C32}"/>
              </c:ext>
            </c:extLst>
          </c:dPt>
          <c:xVal>
            <c:numRef>
              <c:f>Sheet1!$G$2:$G$9</c:f>
              <c:numCache>
                <c:formatCode>General</c:formatCode>
                <c:ptCount val="8"/>
                <c:pt idx="0">
                  <c:v>114.07242203655601</c:v>
                </c:pt>
                <c:pt idx="1">
                  <c:v>143.78656540471999</c:v>
                </c:pt>
                <c:pt idx="2">
                  <c:v>82.224585316575997</c:v>
                </c:pt>
                <c:pt idx="3">
                  <c:v>102.27084506435899</c:v>
                </c:pt>
                <c:pt idx="4">
                  <c:v>81.303718689652001</c:v>
                </c:pt>
                <c:pt idx="5">
                  <c:v>90.288285472955906</c:v>
                </c:pt>
                <c:pt idx="6">
                  <c:v>127.35025514227399</c:v>
                </c:pt>
                <c:pt idx="7">
                  <c:v>138.54469339553799</c:v>
                </c:pt>
              </c:numCache>
            </c:numRef>
          </c:xVal>
          <c:yVal>
            <c:numRef>
              <c:f>Sheet1!$L$2:$L$9</c:f>
              <c:numCache>
                <c:formatCode>General</c:formatCode>
                <c:ptCount val="8"/>
                <c:pt idx="0">
                  <c:v>55</c:v>
                </c:pt>
                <c:pt idx="1">
                  <c:v>76</c:v>
                </c:pt>
                <c:pt idx="2">
                  <c:v>29</c:v>
                </c:pt>
                <c:pt idx="3">
                  <c:v>45</c:v>
                </c:pt>
                <c:pt idx="4">
                  <c:v>25</c:v>
                </c:pt>
                <c:pt idx="5">
                  <c:v>41</c:v>
                </c:pt>
                <c:pt idx="6">
                  <c:v>83</c:v>
                </c:pt>
                <c:pt idx="7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C3E-4F1E-A835-472C29B03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529312"/>
        <c:axId val="1985674320"/>
      </c:scatterChart>
      <c:valAx>
        <c:axId val="1967529312"/>
        <c:scaling>
          <c:orientation val="minMax"/>
          <c:max val="220"/>
          <c:min val="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TCAM Width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674320"/>
        <c:crosses val="autoZero"/>
        <c:crossBetween val="midCat"/>
      </c:valAx>
      <c:valAx>
        <c:axId val="1985674320"/>
        <c:scaling>
          <c:orientation val="minMax"/>
          <c:max val="220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ET Width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52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ET</a:t>
            </a:r>
            <a:r>
              <a:rPr lang="en-US" baseline="0"/>
              <a:t> vs TCAM length (um) using Cp @ Liquidus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Sheet1!$Q$2:$Q$3</c:f>
              <c:numCache>
                <c:formatCode>General</c:formatCode>
                <c:ptCount val="2"/>
                <c:pt idx="0">
                  <c:v>-200</c:v>
                </c:pt>
                <c:pt idx="1">
                  <c:v>500</c:v>
                </c:pt>
              </c:numCache>
            </c:numRef>
          </c:xVal>
          <c:yVal>
            <c:numRef>
              <c:f>Sheet1!$R$2:$R$3</c:f>
              <c:numCache>
                <c:formatCode>General</c:formatCode>
                <c:ptCount val="2"/>
                <c:pt idx="0">
                  <c:v>-200</c:v>
                </c:pt>
                <c:pt idx="1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83-4300-8D5C-C75845EFC2B9}"/>
            </c:ext>
          </c:extLst>
        </c:ser>
        <c:ser>
          <c:idx val="0"/>
          <c:order val="1"/>
          <c:tx>
            <c:v>Alloy 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diamond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F683-4300-8D5C-C75845EFC2B9}"/>
              </c:ext>
            </c:extLst>
          </c:dPt>
          <c:dPt>
            <c:idx val="1"/>
            <c:marker>
              <c:symbol val="diamond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683-4300-8D5C-C75845EFC2B9}"/>
              </c:ext>
            </c:extLst>
          </c:dPt>
          <c:dPt>
            <c:idx val="2"/>
            <c:marker>
              <c:symbol val="x"/>
              <c:size val="5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F683-4300-8D5C-C75845EFC2B9}"/>
              </c:ext>
            </c:extLst>
          </c:dPt>
          <c:dPt>
            <c:idx val="3"/>
            <c:marker>
              <c:symbol val="x"/>
              <c:size val="5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F683-4300-8D5C-C75845EFC2B9}"/>
              </c:ext>
            </c:extLst>
          </c:dPt>
          <c:dPt>
            <c:idx val="6"/>
            <c:marker>
              <c:symbol val="triang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F683-4300-8D5C-C75845EFC2B9}"/>
              </c:ext>
            </c:extLst>
          </c:dPt>
          <c:dPt>
            <c:idx val="7"/>
            <c:marker>
              <c:symbol val="triang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F683-4300-8D5C-C75845EFC2B9}"/>
              </c:ext>
            </c:extLst>
          </c:dPt>
          <c:xVal>
            <c:numRef>
              <c:f>Sheet1!$I$2:$I$9</c:f>
              <c:numCache>
                <c:formatCode>General</c:formatCode>
                <c:ptCount val="8"/>
                <c:pt idx="0">
                  <c:v>171.468420115854</c:v>
                </c:pt>
                <c:pt idx="1">
                  <c:v>169.68135736697201</c:v>
                </c:pt>
                <c:pt idx="2">
                  <c:v>161.15888583133099</c:v>
                </c:pt>
                <c:pt idx="3">
                  <c:v>117.94596452541801</c:v>
                </c:pt>
                <c:pt idx="4">
                  <c:v>173.895592256703</c:v>
                </c:pt>
                <c:pt idx="5">
                  <c:v>180.60362891634799</c:v>
                </c:pt>
                <c:pt idx="6">
                  <c:v>184.77016930943799</c:v>
                </c:pt>
                <c:pt idx="7">
                  <c:v>177.784857877039</c:v>
                </c:pt>
              </c:numCache>
            </c:numRef>
          </c:xVal>
          <c:yVal>
            <c:numRef>
              <c:f>Sheet1!$K$2:$K$9</c:f>
              <c:numCache>
                <c:formatCode>General</c:formatCode>
                <c:ptCount val="8"/>
                <c:pt idx="0">
                  <c:v>168</c:v>
                </c:pt>
                <c:pt idx="1">
                  <c:v>200</c:v>
                </c:pt>
                <c:pt idx="2">
                  <c:v>134</c:v>
                </c:pt>
                <c:pt idx="3">
                  <c:v>150</c:v>
                </c:pt>
                <c:pt idx="4">
                  <c:v>130</c:v>
                </c:pt>
                <c:pt idx="5">
                  <c:v>152</c:v>
                </c:pt>
                <c:pt idx="6">
                  <c:v>208</c:v>
                </c:pt>
                <c:pt idx="7">
                  <c:v>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683-4300-8D5C-C75845EFC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529312"/>
        <c:axId val="1985674320"/>
      </c:scatterChart>
      <c:valAx>
        <c:axId val="1967529312"/>
        <c:scaling>
          <c:orientation val="minMax"/>
          <c:max val="4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TCAM Length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674320"/>
        <c:crosses val="autoZero"/>
        <c:crossBetween val="midCat"/>
      </c:valAx>
      <c:valAx>
        <c:axId val="1985674320"/>
        <c:scaling>
          <c:orientation val="minMax"/>
          <c:max val="4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ET Length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52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121920</xdr:colOff>
      <xdr:row>12</xdr:row>
      <xdr:rowOff>160020</xdr:rowOff>
    </xdr:from>
    <xdr:to>
      <xdr:col>20</xdr:col>
      <xdr:colOff>502920</xdr:colOff>
      <xdr:row>33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A6FDCC-756E-463D-FC4A-BB186C2B1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569310</xdr:colOff>
      <xdr:row>33</xdr:row>
      <xdr:rowOff>144780</xdr:rowOff>
    </xdr:from>
    <xdr:to>
      <xdr:col>21</xdr:col>
      <xdr:colOff>512467</xdr:colOff>
      <xdr:row>56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D0CD6D-8285-4F13-83B9-65374BC93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289559</xdr:colOff>
      <xdr:row>10</xdr:row>
      <xdr:rowOff>114300</xdr:rowOff>
    </xdr:from>
    <xdr:to>
      <xdr:col>28</xdr:col>
      <xdr:colOff>472966</xdr:colOff>
      <xdr:row>35</xdr:row>
      <xdr:rowOff>166414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75BED4-7A57-4174-B32D-B5E754503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A572-35E7-4684-9AD4-7BE49A2F7972}">
  <dimension ref="A1:Z19"/>
  <sheetViews>
    <sheetView tabSelected="1" zoomScale="87" workbookViewId="0">
      <selection activeCell="G15" sqref="G15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22</v>
      </c>
      <c r="D1" t="s">
        <v>23</v>
      </c>
      <c r="E1" t="s">
        <v>2</v>
      </c>
      <c r="F1" t="s">
        <v>24</v>
      </c>
      <c r="G1" t="s">
        <v>18</v>
      </c>
      <c r="H1" t="s">
        <v>19</v>
      </c>
      <c r="I1" t="s">
        <v>20</v>
      </c>
      <c r="J1" t="s">
        <v>21</v>
      </c>
      <c r="K1" t="s">
        <v>26</v>
      </c>
      <c r="L1" t="s">
        <v>27</v>
      </c>
      <c r="M1" t="s">
        <v>25</v>
      </c>
      <c r="N1" t="s">
        <v>21</v>
      </c>
      <c r="O1" t="s">
        <v>28</v>
      </c>
      <c r="Q1" t="s">
        <v>8</v>
      </c>
      <c r="T1" s="1" t="s">
        <v>31</v>
      </c>
      <c r="U1" s="1"/>
      <c r="V1" s="1"/>
      <c r="W1" s="1"/>
      <c r="X1" s="1"/>
      <c r="Y1" s="1"/>
      <c r="Z1" s="1"/>
    </row>
    <row r="2" spans="1:26" x14ac:dyDescent="0.3">
      <c r="A2">
        <v>0</v>
      </c>
      <c r="B2" t="s">
        <v>3</v>
      </c>
      <c r="C2">
        <v>250</v>
      </c>
      <c r="D2">
        <v>0.5</v>
      </c>
      <c r="E2" t="s">
        <v>4</v>
      </c>
      <c r="F2" t="s">
        <v>17</v>
      </c>
      <c r="G2">
        <v>114.07242203655601</v>
      </c>
      <c r="H2">
        <v>30.814580647985</v>
      </c>
      <c r="I2">
        <v>171.468420115854</v>
      </c>
      <c r="J2">
        <v>8518.4410482363601</v>
      </c>
      <c r="K2">
        <v>168</v>
      </c>
      <c r="L2">
        <v>55</v>
      </c>
      <c r="M2">
        <v>342</v>
      </c>
      <c r="N2">
        <v>15878.855</v>
      </c>
      <c r="O2">
        <v>300.04573820000002</v>
      </c>
      <c r="Q2">
        <v>-200</v>
      </c>
      <c r="R2">
        <v>-200</v>
      </c>
      <c r="T2" s="1" t="s">
        <v>29</v>
      </c>
      <c r="U2" s="1" cm="1">
        <f t="array" ref="U2">SUM(ABS(K2:K9-G2:G9))/COUNT(K2:K9)</f>
        <v>58.269828684671147</v>
      </c>
      <c r="V2" s="1" t="s">
        <v>36</v>
      </c>
      <c r="W2" s="1"/>
      <c r="X2" s="1"/>
      <c r="Y2" s="1"/>
      <c r="Z2" s="1"/>
    </row>
    <row r="3" spans="1:26" x14ac:dyDescent="0.3">
      <c r="A3">
        <v>0</v>
      </c>
      <c r="B3" t="s">
        <v>3</v>
      </c>
      <c r="C3">
        <v>200</v>
      </c>
      <c r="D3">
        <v>0.2</v>
      </c>
      <c r="E3" t="s">
        <v>4</v>
      </c>
      <c r="F3" t="s">
        <v>17</v>
      </c>
      <c r="G3">
        <v>143.78656540471999</v>
      </c>
      <c r="H3">
        <v>38.307514798417003</v>
      </c>
      <c r="I3">
        <v>169.68135736697201</v>
      </c>
      <c r="J3">
        <v>8345.4361112515398</v>
      </c>
      <c r="K3">
        <v>200</v>
      </c>
      <c r="L3">
        <v>76</v>
      </c>
      <c r="M3">
        <v>313</v>
      </c>
      <c r="N3">
        <v>17027.705910000001</v>
      </c>
      <c r="O3">
        <v>310.97161060000002</v>
      </c>
      <c r="Q3">
        <v>500</v>
      </c>
      <c r="R3">
        <v>500</v>
      </c>
      <c r="T3" s="1" t="s">
        <v>30</v>
      </c>
      <c r="U3" s="1" cm="1">
        <f t="array" ref="U3">SQRT(SUM((K2:K9-G2:G9)^2)/COUNT(K2:K9))</f>
        <v>59.155876422102459</v>
      </c>
      <c r="V3" s="1" t="s">
        <v>35</v>
      </c>
      <c r="W3" s="1"/>
      <c r="X3" s="1"/>
      <c r="Y3" s="1"/>
      <c r="Z3" s="1"/>
    </row>
    <row r="4" spans="1:26" x14ac:dyDescent="0.3">
      <c r="A4">
        <v>0</v>
      </c>
      <c r="B4" t="s">
        <v>3</v>
      </c>
      <c r="C4">
        <v>250</v>
      </c>
      <c r="D4">
        <v>1.25</v>
      </c>
      <c r="E4" t="s">
        <v>5</v>
      </c>
      <c r="F4" t="s">
        <v>17</v>
      </c>
      <c r="G4">
        <v>82.224585316575997</v>
      </c>
      <c r="H4">
        <v>22.226829024813998</v>
      </c>
      <c r="I4">
        <v>161.15888583133099</v>
      </c>
      <c r="J4">
        <v>8379.1710557662791</v>
      </c>
      <c r="K4">
        <v>134</v>
      </c>
      <c r="L4">
        <v>29</v>
      </c>
      <c r="M4">
        <v>284</v>
      </c>
      <c r="N4">
        <v>11050.02765</v>
      </c>
      <c r="O4">
        <v>300.00050649999997</v>
      </c>
      <c r="T4" s="1" t="s">
        <v>32</v>
      </c>
      <c r="U4" s="1" cm="1">
        <f t="array" ref="U4">SUM(ABS((K2:K9-G2:G9)/G2:G9))*100/COUNT(K2:K9)</f>
        <v>54.353184192377</v>
      </c>
      <c r="V4" s="1" t="s">
        <v>34</v>
      </c>
      <c r="W4" s="1"/>
      <c r="X4" s="1"/>
      <c r="Y4" s="1"/>
      <c r="Z4" s="1"/>
    </row>
    <row r="5" spans="1:26" x14ac:dyDescent="0.3">
      <c r="A5">
        <v>0</v>
      </c>
      <c r="B5" t="s">
        <v>3</v>
      </c>
      <c r="C5">
        <v>125</v>
      </c>
      <c r="D5">
        <v>0.25</v>
      </c>
      <c r="E5" t="s">
        <v>5</v>
      </c>
      <c r="F5" t="s">
        <v>17</v>
      </c>
      <c r="G5">
        <v>102.27084506435899</v>
      </c>
      <c r="H5">
        <v>27.260981313365001</v>
      </c>
      <c r="I5">
        <v>117.94596452541801</v>
      </c>
      <c r="J5">
        <v>7700.2431085083099</v>
      </c>
      <c r="K5">
        <v>150</v>
      </c>
      <c r="L5">
        <v>45</v>
      </c>
      <c r="M5">
        <v>201</v>
      </c>
      <c r="N5">
        <v>10116.3953</v>
      </c>
      <c r="O5">
        <v>302.10647369999998</v>
      </c>
      <c r="T5" s="1" t="s">
        <v>33</v>
      </c>
      <c r="U5" s="1" cm="1">
        <f t="array" ref="U5">SUM(K2:K9-G2:G9)/COUNT(K2:K9)</f>
        <v>58.269828684671147</v>
      </c>
      <c r="V5" s="1" t="s">
        <v>37</v>
      </c>
      <c r="W5" s="1"/>
      <c r="X5" s="1"/>
      <c r="Y5" s="1"/>
      <c r="Z5" s="1"/>
    </row>
    <row r="6" spans="1:26" x14ac:dyDescent="0.3">
      <c r="A6">
        <v>0</v>
      </c>
      <c r="B6" t="s">
        <v>3</v>
      </c>
      <c r="C6">
        <v>275</v>
      </c>
      <c r="D6">
        <v>1.65</v>
      </c>
      <c r="E6" t="s">
        <v>6</v>
      </c>
      <c r="F6" t="s">
        <v>17</v>
      </c>
      <c r="G6">
        <v>81.303718689652001</v>
      </c>
      <c r="H6">
        <v>20.511244252676001</v>
      </c>
      <c r="I6">
        <v>173.895592256703</v>
      </c>
      <c r="J6">
        <v>8437.32438682672</v>
      </c>
      <c r="K6">
        <v>130</v>
      </c>
      <c r="L6">
        <v>25</v>
      </c>
      <c r="M6">
        <v>292</v>
      </c>
      <c r="N6">
        <v>10759.175859999999</v>
      </c>
      <c r="O6">
        <v>300.00033089999999</v>
      </c>
    </row>
    <row r="7" spans="1:26" x14ac:dyDescent="0.3">
      <c r="A7">
        <v>0</v>
      </c>
      <c r="B7" t="s">
        <v>3</v>
      </c>
      <c r="C7">
        <v>305</v>
      </c>
      <c r="D7">
        <v>1</v>
      </c>
      <c r="E7" t="s">
        <v>6</v>
      </c>
      <c r="F7" t="s">
        <v>17</v>
      </c>
      <c r="G7">
        <v>90.288285472955906</v>
      </c>
      <c r="H7">
        <v>24.665986425126999</v>
      </c>
      <c r="I7">
        <v>180.60362891634799</v>
      </c>
      <c r="J7">
        <v>8670.6290628860897</v>
      </c>
      <c r="K7">
        <v>152</v>
      </c>
      <c r="L7">
        <v>41</v>
      </c>
      <c r="M7">
        <v>373</v>
      </c>
      <c r="N7">
        <v>14731.959570000001</v>
      </c>
      <c r="O7">
        <v>300.00117419999998</v>
      </c>
    </row>
    <row r="8" spans="1:26" x14ac:dyDescent="0.3">
      <c r="A8">
        <v>0</v>
      </c>
      <c r="B8" t="s">
        <v>3</v>
      </c>
      <c r="C8">
        <v>300</v>
      </c>
      <c r="D8">
        <v>0.3</v>
      </c>
      <c r="E8" t="s">
        <v>7</v>
      </c>
      <c r="F8" t="s">
        <v>17</v>
      </c>
      <c r="G8">
        <v>127.35025514227399</v>
      </c>
      <c r="H8">
        <v>37.482490819878997</v>
      </c>
      <c r="I8">
        <v>184.77016930943799</v>
      </c>
      <c r="J8">
        <v>8769.1206385526493</v>
      </c>
      <c r="K8">
        <v>208</v>
      </c>
      <c r="L8">
        <v>83</v>
      </c>
      <c r="M8">
        <v>432</v>
      </c>
      <c r="N8">
        <v>22579.440200000001</v>
      </c>
      <c r="O8">
        <v>301.7103328</v>
      </c>
    </row>
    <row r="9" spans="1:26" x14ac:dyDescent="0.3">
      <c r="A9">
        <v>0</v>
      </c>
      <c r="B9" t="s">
        <v>3</v>
      </c>
      <c r="C9">
        <v>250</v>
      </c>
      <c r="D9">
        <v>0.25</v>
      </c>
      <c r="E9" t="s">
        <v>7</v>
      </c>
      <c r="F9" t="s">
        <v>17</v>
      </c>
      <c r="G9">
        <v>138.54469339553799</v>
      </c>
      <c r="H9">
        <v>37.601442700705</v>
      </c>
      <c r="I9">
        <v>177.784857877039</v>
      </c>
      <c r="J9">
        <v>8574.9164333931094</v>
      </c>
      <c r="K9">
        <v>204</v>
      </c>
      <c r="L9">
        <v>81</v>
      </c>
      <c r="M9">
        <v>372</v>
      </c>
      <c r="N9">
        <v>19932.7906</v>
      </c>
      <c r="O9">
        <v>304.21294740000002</v>
      </c>
    </row>
    <row r="16" spans="1:26" x14ac:dyDescent="0.3">
      <c r="N16" t="s">
        <v>9</v>
      </c>
      <c r="O16" t="s">
        <v>11</v>
      </c>
    </row>
    <row r="17" spans="14:15" x14ac:dyDescent="0.3">
      <c r="N17" t="s">
        <v>12</v>
      </c>
      <c r="O17" t="s">
        <v>13</v>
      </c>
    </row>
    <row r="18" spans="14:15" x14ac:dyDescent="0.3">
      <c r="N18" t="s">
        <v>14</v>
      </c>
      <c r="O18" t="s">
        <v>10</v>
      </c>
    </row>
    <row r="19" spans="14:15" x14ac:dyDescent="0.3">
      <c r="N19" t="s">
        <v>15</v>
      </c>
      <c r="O19" t="s">
        <v>16</v>
      </c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Swartz, Kyle Zachary</dc:creator>
  <cp:lastModifiedBy>Swartz, Kyle Zachary</cp:lastModifiedBy>
  <dcterms:created xsi:type="dcterms:W3CDTF">2026-05-21T06:29:42Z</dcterms:created>
  <dcterms:modified xsi:type="dcterms:W3CDTF">2026-05-22T05:32:24Z</dcterms:modified>
</cp:coreProperties>
</file>