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yleswartz\projects\ETtoKGT\"/>
    </mc:Choice>
  </mc:AlternateContent>
  <xr:revisionPtr revIDLastSave="0" documentId="13_ncr:1_{A4C9D118-93F1-47D5-A2AC-CCB981D36289}" xr6:coauthVersionLast="47" xr6:coauthVersionMax="47" xr10:uidLastSave="{00000000-0000-0000-0000-000000000000}"/>
  <bookViews>
    <workbookView xWindow="2508" yWindow="2508" windowWidth="17280" windowHeight="10932" xr2:uid="{369FE082-AEFE-4142-B79C-87070DFA0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8" i="1" l="1"/>
  <c r="M18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M17" i="1"/>
  <c r="M16" i="1"/>
  <c r="M15" i="1"/>
  <c r="M14" i="1"/>
  <c r="M13" i="1"/>
  <c r="M12" i="1"/>
  <c r="M11" i="1"/>
  <c r="M10" i="1"/>
  <c r="M3" i="1"/>
  <c r="M4" i="1"/>
  <c r="M5" i="1"/>
  <c r="M6" i="1"/>
  <c r="M7" i="1"/>
  <c r="M8" i="1"/>
  <c r="M9" i="1"/>
  <c r="M2" i="1"/>
</calcChain>
</file>

<file path=xl/sharedStrings.xml><?xml version="1.0" encoding="utf-8"?>
<sst xmlns="http://schemas.openxmlformats.org/spreadsheetml/2006/main" count="31" uniqueCount="16">
  <si>
    <t>Alloy</t>
  </si>
  <si>
    <t>Composition</t>
  </si>
  <si>
    <t>Power (W)</t>
  </si>
  <si>
    <t>Velocity (m/s)</t>
  </si>
  <si>
    <t>Classification</t>
  </si>
  <si>
    <t>Hf2Mo2Ta48W48 (at%)</t>
  </si>
  <si>
    <t>W</t>
  </si>
  <si>
    <t>Re</t>
  </si>
  <si>
    <t>Nb</t>
  </si>
  <si>
    <t>Ta</t>
  </si>
  <si>
    <t>Mo</t>
  </si>
  <si>
    <t>Hf</t>
  </si>
  <si>
    <t>V</t>
  </si>
  <si>
    <t>LED (J/m)</t>
  </si>
  <si>
    <t>Velocity (mm/s)</t>
  </si>
  <si>
    <t>Mo5Nb55Ta5W35 (at%)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</si>
</sst>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top"/>
    </xf>
    <xf numFmtId="0" fontId="0" fillId="3" borderId="1" xfId="0" applyFill="1" applyBorder="1" applyAlignment="1">
      <alignment horizontal="center"/>
    </xf>
    <xf numFmtId="11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C6CB-5E4F-4D6F-8B2F-CAB39A7F9F86}">
  <dimension ref="A1:T18"/>
  <sheetViews>
    <sheetView tabSelected="1" workbookViewId="0">
      <selection activeCell="L21" sqref="I21:L21"/>
    </sheetView>
  </sheetViews>
  <sheetFormatPr defaultRowHeight="14.4" x14ac:dyDescent="0.3"/>
  <cols>
    <col min="1" max="1" width="9.5546875" style="3" customWidth="1"/>
    <col min="2" max="2" width="19.44140625" style="3" customWidth="1"/>
    <col min="3" max="3" width="8.5546875" style="3" customWidth="1"/>
    <col min="4" max="4" width="6.6640625" style="3" customWidth="1"/>
    <col min="5" max="5" width="7.33203125" style="3" customWidth="1"/>
    <col min="6" max="6" width="5.88671875" style="3" customWidth="1"/>
    <col min="7" max="7" width="6.109375" style="3" customWidth="1"/>
    <col min="8" max="8" width="5.44140625" style="3" customWidth="1"/>
    <col min="9" max="9" width="6.77734375" style="3" customWidth="1"/>
    <col min="10" max="10" width="8.88671875" style="3"/>
    <col min="11" max="13" width="13.109375" style="3" customWidth="1"/>
    <col min="14" max="14" width="12.21875" style="3" customWidth="1"/>
    <col min="15" max="16384" width="8.88671875" style="3"/>
  </cols>
  <sheetData>
    <row r="1" spans="1:14" s="2" customFormat="1" x14ac:dyDescent="0.3">
      <c r="A1" s="1" t="s">
        <v>0</v>
      </c>
      <c r="B1" s="1" t="s">
        <v>1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1" t="s">
        <v>2</v>
      </c>
      <c r="K1" s="1" t="s">
        <v>3</v>
      </c>
      <c r="L1" s="1" t="s">
        <v>14</v>
      </c>
      <c r="M1" s="1" t="s">
        <v>13</v>
      </c>
      <c r="N1" s="1" t="s">
        <v>4</v>
      </c>
    </row>
    <row r="2" spans="1:14" x14ac:dyDescent="0.3">
      <c r="A2" s="3">
        <v>0</v>
      </c>
      <c r="B2" s="3" t="s">
        <v>5</v>
      </c>
      <c r="C2" s="3">
        <v>0.48</v>
      </c>
      <c r="D2" s="3">
        <v>0</v>
      </c>
      <c r="E2" s="3">
        <v>0</v>
      </c>
      <c r="F2" s="3">
        <v>0.48</v>
      </c>
      <c r="G2" s="3">
        <v>0.02</v>
      </c>
      <c r="H2" s="3">
        <v>0.02</v>
      </c>
      <c r="I2" s="3">
        <v>0</v>
      </c>
      <c r="J2" s="3">
        <v>50</v>
      </c>
      <c r="K2" s="3">
        <v>0.1</v>
      </c>
      <c r="L2" s="3">
        <f t="shared" ref="L2:L18" si="0">K2*1000</f>
        <v>100</v>
      </c>
      <c r="M2" s="3">
        <f t="shared" ref="M2:M9" si="1">J2/K2</f>
        <v>500</v>
      </c>
    </row>
    <row r="3" spans="1:14" x14ac:dyDescent="0.3">
      <c r="A3" s="3">
        <v>0</v>
      </c>
      <c r="B3" s="3" t="s">
        <v>5</v>
      </c>
      <c r="C3" s="3">
        <v>0.48</v>
      </c>
      <c r="D3" s="3">
        <v>0</v>
      </c>
      <c r="E3" s="3">
        <v>0</v>
      </c>
      <c r="F3" s="3">
        <v>0.48</v>
      </c>
      <c r="G3" s="3">
        <v>0.02</v>
      </c>
      <c r="H3" s="3">
        <v>0.02</v>
      </c>
      <c r="I3" s="3">
        <v>0</v>
      </c>
      <c r="J3" s="3">
        <v>50</v>
      </c>
      <c r="K3" s="3">
        <v>0.5</v>
      </c>
      <c r="L3" s="3">
        <f t="shared" si="0"/>
        <v>500</v>
      </c>
      <c r="M3" s="3">
        <f t="shared" si="1"/>
        <v>100</v>
      </c>
    </row>
    <row r="4" spans="1:14" x14ac:dyDescent="0.3">
      <c r="A4" s="3">
        <v>0</v>
      </c>
      <c r="B4" s="3" t="s">
        <v>5</v>
      </c>
      <c r="C4" s="3">
        <v>0.48</v>
      </c>
      <c r="D4" s="3">
        <v>0</v>
      </c>
      <c r="E4" s="3">
        <v>0</v>
      </c>
      <c r="F4" s="3">
        <v>0.48</v>
      </c>
      <c r="G4" s="3">
        <v>0.02</v>
      </c>
      <c r="H4" s="3">
        <v>0.02</v>
      </c>
      <c r="I4" s="3">
        <v>0</v>
      </c>
      <c r="J4" s="3">
        <v>50</v>
      </c>
      <c r="K4" s="3">
        <v>1</v>
      </c>
      <c r="L4" s="3">
        <f t="shared" si="0"/>
        <v>1000</v>
      </c>
      <c r="M4" s="3">
        <f t="shared" si="1"/>
        <v>50</v>
      </c>
    </row>
    <row r="5" spans="1:14" x14ac:dyDescent="0.3">
      <c r="A5" s="3">
        <v>0</v>
      </c>
      <c r="B5" s="3" t="s">
        <v>5</v>
      </c>
      <c r="C5" s="3">
        <v>0.48</v>
      </c>
      <c r="D5" s="3">
        <v>0</v>
      </c>
      <c r="E5" s="3">
        <v>0</v>
      </c>
      <c r="F5" s="3">
        <v>0.48</v>
      </c>
      <c r="G5" s="3">
        <v>0.02</v>
      </c>
      <c r="H5" s="3">
        <v>0.02</v>
      </c>
      <c r="I5" s="3">
        <v>0</v>
      </c>
      <c r="J5" s="3">
        <v>50</v>
      </c>
      <c r="K5" s="3">
        <v>1.5</v>
      </c>
      <c r="L5" s="3">
        <f t="shared" si="0"/>
        <v>1500</v>
      </c>
      <c r="M5" s="3">
        <f t="shared" si="1"/>
        <v>33.333333333333336</v>
      </c>
    </row>
    <row r="6" spans="1:14" x14ac:dyDescent="0.3">
      <c r="A6" s="3">
        <v>0</v>
      </c>
      <c r="B6" s="3" t="s">
        <v>5</v>
      </c>
      <c r="C6" s="3">
        <v>0.48</v>
      </c>
      <c r="D6" s="3">
        <v>0</v>
      </c>
      <c r="E6" s="3">
        <v>0</v>
      </c>
      <c r="F6" s="3">
        <v>0.48</v>
      </c>
      <c r="G6" s="3">
        <v>0.02</v>
      </c>
      <c r="H6" s="3">
        <v>0.02</v>
      </c>
      <c r="I6" s="3">
        <v>0</v>
      </c>
      <c r="J6" s="3">
        <v>150</v>
      </c>
      <c r="K6" s="3">
        <v>0.1</v>
      </c>
      <c r="L6" s="3">
        <f t="shared" si="0"/>
        <v>100</v>
      </c>
      <c r="M6" s="3">
        <f t="shared" si="1"/>
        <v>1500</v>
      </c>
    </row>
    <row r="7" spans="1:14" x14ac:dyDescent="0.3">
      <c r="A7" s="3">
        <v>0</v>
      </c>
      <c r="B7" s="3" t="s">
        <v>5</v>
      </c>
      <c r="C7" s="3">
        <v>0.48</v>
      </c>
      <c r="D7" s="3">
        <v>0</v>
      </c>
      <c r="E7" s="3">
        <v>0</v>
      </c>
      <c r="F7" s="3">
        <v>0.48</v>
      </c>
      <c r="G7" s="3">
        <v>0.02</v>
      </c>
      <c r="H7" s="3">
        <v>0.02</v>
      </c>
      <c r="I7" s="3">
        <v>0</v>
      </c>
      <c r="J7" s="3">
        <v>150</v>
      </c>
      <c r="K7" s="3">
        <v>0.5</v>
      </c>
      <c r="L7" s="3">
        <f t="shared" si="0"/>
        <v>500</v>
      </c>
      <c r="M7" s="3">
        <f t="shared" si="1"/>
        <v>300</v>
      </c>
    </row>
    <row r="8" spans="1:14" x14ac:dyDescent="0.3">
      <c r="A8" s="3">
        <v>0</v>
      </c>
      <c r="B8" s="3" t="s">
        <v>5</v>
      </c>
      <c r="C8" s="3">
        <v>0.48</v>
      </c>
      <c r="D8" s="3">
        <v>0</v>
      </c>
      <c r="E8" s="3">
        <v>0</v>
      </c>
      <c r="F8" s="3">
        <v>0.48</v>
      </c>
      <c r="G8" s="3">
        <v>0.02</v>
      </c>
      <c r="H8" s="3">
        <v>0.02</v>
      </c>
      <c r="I8" s="3">
        <v>0</v>
      </c>
      <c r="J8" s="3">
        <v>150</v>
      </c>
      <c r="K8" s="3">
        <v>1</v>
      </c>
      <c r="L8" s="3">
        <f t="shared" si="0"/>
        <v>1000</v>
      </c>
      <c r="M8" s="3">
        <f t="shared" si="1"/>
        <v>150</v>
      </c>
    </row>
    <row r="9" spans="1:14" x14ac:dyDescent="0.3">
      <c r="A9" s="3">
        <v>0</v>
      </c>
      <c r="B9" s="3" t="s">
        <v>5</v>
      </c>
      <c r="C9" s="3">
        <v>0.48</v>
      </c>
      <c r="D9" s="3">
        <v>0</v>
      </c>
      <c r="E9" s="3">
        <v>0</v>
      </c>
      <c r="F9" s="3">
        <v>0.48</v>
      </c>
      <c r="G9" s="3">
        <v>0.02</v>
      </c>
      <c r="H9" s="3">
        <v>0.02</v>
      </c>
      <c r="I9" s="3">
        <v>0</v>
      </c>
      <c r="J9" s="3">
        <v>150</v>
      </c>
      <c r="K9" s="3">
        <v>1.5</v>
      </c>
      <c r="L9" s="3">
        <f t="shared" si="0"/>
        <v>1500</v>
      </c>
      <c r="M9" s="3">
        <f t="shared" si="1"/>
        <v>100</v>
      </c>
    </row>
    <row r="10" spans="1:14" x14ac:dyDescent="0.3">
      <c r="A10" s="3">
        <v>0</v>
      </c>
      <c r="B10" s="3" t="s">
        <v>5</v>
      </c>
      <c r="C10" s="3">
        <v>0.48</v>
      </c>
      <c r="D10" s="3">
        <v>0</v>
      </c>
      <c r="E10" s="3">
        <v>0</v>
      </c>
      <c r="F10" s="3">
        <v>0.48</v>
      </c>
      <c r="G10" s="3">
        <v>0.02</v>
      </c>
      <c r="H10" s="3">
        <v>0.02</v>
      </c>
      <c r="I10" s="3">
        <v>0</v>
      </c>
      <c r="J10" s="3">
        <v>250</v>
      </c>
      <c r="K10" s="3">
        <v>0.1</v>
      </c>
      <c r="L10" s="3">
        <f t="shared" si="0"/>
        <v>100</v>
      </c>
      <c r="M10" s="3">
        <f t="shared" ref="M10:M15" si="2">J10/K10</f>
        <v>2500</v>
      </c>
    </row>
    <row r="11" spans="1:14" x14ac:dyDescent="0.3">
      <c r="A11" s="3">
        <v>0</v>
      </c>
      <c r="B11" s="3" t="s">
        <v>5</v>
      </c>
      <c r="C11" s="3">
        <v>0.48</v>
      </c>
      <c r="D11" s="3">
        <v>0</v>
      </c>
      <c r="E11" s="3">
        <v>0</v>
      </c>
      <c r="F11" s="3">
        <v>0.48</v>
      </c>
      <c r="G11" s="3">
        <v>0.02</v>
      </c>
      <c r="H11" s="3">
        <v>0.02</v>
      </c>
      <c r="I11" s="3">
        <v>0</v>
      </c>
      <c r="J11" s="3">
        <v>250</v>
      </c>
      <c r="K11" s="3">
        <v>0.5</v>
      </c>
      <c r="L11" s="3">
        <f t="shared" si="0"/>
        <v>500</v>
      </c>
      <c r="M11" s="3">
        <f t="shared" si="2"/>
        <v>500</v>
      </c>
    </row>
    <row r="12" spans="1:14" x14ac:dyDescent="0.3">
      <c r="A12" s="3">
        <v>0</v>
      </c>
      <c r="B12" s="3" t="s">
        <v>5</v>
      </c>
      <c r="C12" s="3">
        <v>0.48</v>
      </c>
      <c r="D12" s="3">
        <v>0</v>
      </c>
      <c r="E12" s="3">
        <v>0</v>
      </c>
      <c r="F12" s="3">
        <v>0.48</v>
      </c>
      <c r="G12" s="3">
        <v>0.02</v>
      </c>
      <c r="H12" s="3">
        <v>0.02</v>
      </c>
      <c r="I12" s="3">
        <v>0</v>
      </c>
      <c r="J12" s="3">
        <v>250</v>
      </c>
      <c r="K12" s="3">
        <v>1</v>
      </c>
      <c r="L12" s="3">
        <f t="shared" si="0"/>
        <v>1000</v>
      </c>
      <c r="M12" s="3">
        <f t="shared" si="2"/>
        <v>250</v>
      </c>
    </row>
    <row r="13" spans="1:14" x14ac:dyDescent="0.3">
      <c r="A13" s="3">
        <v>0</v>
      </c>
      <c r="B13" s="3" t="s">
        <v>5</v>
      </c>
      <c r="C13" s="3">
        <v>0.48</v>
      </c>
      <c r="D13" s="3">
        <v>0</v>
      </c>
      <c r="E13" s="3">
        <v>0</v>
      </c>
      <c r="F13" s="3">
        <v>0.48</v>
      </c>
      <c r="G13" s="3">
        <v>0.02</v>
      </c>
      <c r="H13" s="3">
        <v>0.02</v>
      </c>
      <c r="I13" s="3">
        <v>0</v>
      </c>
      <c r="J13" s="3">
        <v>250</v>
      </c>
      <c r="K13" s="3">
        <v>1.5</v>
      </c>
      <c r="L13" s="3">
        <f t="shared" si="0"/>
        <v>1500</v>
      </c>
      <c r="M13" s="3">
        <f t="shared" si="2"/>
        <v>166.66666666666666</v>
      </c>
    </row>
    <row r="14" spans="1:14" x14ac:dyDescent="0.3">
      <c r="A14" s="3">
        <v>0</v>
      </c>
      <c r="B14" s="3" t="s">
        <v>5</v>
      </c>
      <c r="C14" s="3">
        <v>0.48</v>
      </c>
      <c r="D14" s="3">
        <v>0</v>
      </c>
      <c r="E14" s="3">
        <v>0</v>
      </c>
      <c r="F14" s="3">
        <v>0.48</v>
      </c>
      <c r="G14" s="3">
        <v>0.02</v>
      </c>
      <c r="H14" s="3">
        <v>0.02</v>
      </c>
      <c r="I14" s="3">
        <v>0</v>
      </c>
      <c r="J14" s="3">
        <v>350</v>
      </c>
      <c r="K14" s="3">
        <v>0.1</v>
      </c>
      <c r="L14" s="3">
        <f t="shared" si="0"/>
        <v>100</v>
      </c>
      <c r="M14" s="3">
        <f t="shared" si="2"/>
        <v>3500</v>
      </c>
    </row>
    <row r="15" spans="1:14" x14ac:dyDescent="0.3">
      <c r="A15" s="3">
        <v>0</v>
      </c>
      <c r="B15" s="3" t="s">
        <v>5</v>
      </c>
      <c r="C15" s="3">
        <v>0.48</v>
      </c>
      <c r="D15" s="3">
        <v>0</v>
      </c>
      <c r="E15" s="3">
        <v>0</v>
      </c>
      <c r="F15" s="3">
        <v>0.48</v>
      </c>
      <c r="G15" s="3">
        <v>0.02</v>
      </c>
      <c r="H15" s="3">
        <v>0.02</v>
      </c>
      <c r="I15" s="3">
        <v>0</v>
      </c>
      <c r="J15" s="3">
        <v>350</v>
      </c>
      <c r="K15" s="3">
        <v>0.5</v>
      </c>
      <c r="L15" s="3">
        <f t="shared" si="0"/>
        <v>500</v>
      </c>
      <c r="M15" s="3">
        <f t="shared" si="2"/>
        <v>700</v>
      </c>
    </row>
    <row r="16" spans="1:14" x14ac:dyDescent="0.3">
      <c r="A16" s="3">
        <v>0</v>
      </c>
      <c r="B16" s="3" t="s">
        <v>5</v>
      </c>
      <c r="C16" s="3">
        <v>0.48</v>
      </c>
      <c r="D16" s="3">
        <v>0</v>
      </c>
      <c r="E16" s="3">
        <v>0</v>
      </c>
      <c r="F16" s="3">
        <v>0.48</v>
      </c>
      <c r="G16" s="3">
        <v>0.02</v>
      </c>
      <c r="H16" s="3">
        <v>0.02</v>
      </c>
      <c r="I16" s="3">
        <v>0</v>
      </c>
      <c r="J16" s="3">
        <v>350</v>
      </c>
      <c r="K16" s="3">
        <v>1</v>
      </c>
      <c r="L16" s="3">
        <f t="shared" si="0"/>
        <v>1000</v>
      </c>
      <c r="M16" s="3">
        <f t="shared" ref="M16:M18" si="3">J16/K16</f>
        <v>350</v>
      </c>
    </row>
    <row r="17" spans="1:20" x14ac:dyDescent="0.3">
      <c r="A17" s="3">
        <v>0</v>
      </c>
      <c r="B17" s="3" t="s">
        <v>5</v>
      </c>
      <c r="C17" s="3">
        <v>0.48</v>
      </c>
      <c r="D17" s="3">
        <v>0</v>
      </c>
      <c r="E17" s="3">
        <v>0</v>
      </c>
      <c r="F17" s="3">
        <v>0.48</v>
      </c>
      <c r="G17" s="3">
        <v>0.02</v>
      </c>
      <c r="H17" s="3">
        <v>0.02</v>
      </c>
      <c r="I17" s="3">
        <v>0</v>
      </c>
      <c r="J17" s="3">
        <v>350</v>
      </c>
      <c r="K17" s="3">
        <v>1.5</v>
      </c>
      <c r="L17" s="3">
        <f t="shared" si="0"/>
        <v>1500</v>
      </c>
      <c r="M17" s="3">
        <f t="shared" si="3"/>
        <v>233.33333333333334</v>
      </c>
    </row>
    <row r="18" spans="1:20" s="5" customFormat="1" x14ac:dyDescent="0.3">
      <c r="A18" s="5">
        <v>19</v>
      </c>
      <c r="B18" s="5" t="s">
        <v>15</v>
      </c>
      <c r="C18" s="5">
        <v>0.35</v>
      </c>
      <c r="D18" s="5">
        <v>0</v>
      </c>
      <c r="E18" s="5">
        <v>0.55000000000000004</v>
      </c>
      <c r="F18" s="5">
        <v>0.05</v>
      </c>
      <c r="G18" s="5">
        <v>0.05</v>
      </c>
      <c r="H18" s="5">
        <v>0</v>
      </c>
      <c r="I18" s="5">
        <v>0</v>
      </c>
      <c r="J18" s="3">
        <v>300</v>
      </c>
      <c r="K18" s="5">
        <v>0.3</v>
      </c>
      <c r="L18" s="5">
        <f t="shared" si="0"/>
        <v>300</v>
      </c>
      <c r="M18" s="5">
        <f t="shared" si="3"/>
        <v>1000</v>
      </c>
      <c r="T1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Swartz, Kyle Zachary</dc:creator>
  <cp:lastModifiedBy>Swartz, Kyle Zachary</cp:lastModifiedBy>
  <dcterms:created xsi:type="dcterms:W3CDTF">2026-05-19T06:26:08Z</dcterms:created>
  <dcterms:modified xsi:type="dcterms:W3CDTF">2026-07-30T23:14:00Z</dcterms:modified>
</cp:coreProperties>
</file>