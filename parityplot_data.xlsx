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D28C6FEE-2EDC-4DF7-8587-FBE509F1C73B}" xr6:coauthVersionLast="47" xr6:coauthVersionMax="47" xr10:uidLastSave="{00000000-0000-0000-0000-000000000000}"/>
  <bookViews>
    <workbookView xWindow="2988" yWindow="1800" windowWidth="17280" windowHeight="10932" xr2:uid="{6AD04E01-6D7C-49D4-A1DF-21F66F85F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<sst xmlns="http://schemas.openxmlformats.org/spreadsheetml/2006/main" count="50" uniqueCount="39">
  <si>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Alloy</t>
  </si>
  <si>
    <t>Composition</t>
  </si>
  <si>
    <t>W</t>
  </si>
  <si>
    <t>Re</t>
  </si>
  <si>
    <t>Nb</t>
  </si>
  <si>
    <t>Ta</t>
  </si>
  <si>
    <t>Mo</t>
  </si>
  <si>
    <t>Hf</t>
  </si>
  <si>
    <t>V</t>
  </si>
  <si>
    <t>power_w</t>
  </si>
  <si>
    <t>velocity_m_s</t>
  </si>
  <si>
    <t>Classification</t>
  </si>
  <si>
    <t>liquidus_temperature_k</t>
  </si>
  <si>
    <t>meltpool_width_m</t>
  </si>
  <si>
    <t>meltpool_depth_m</t>
  </si>
  <si>
    <t>meltpool_length_m</t>
  </si>
  <si>
    <t>meltpool_width_um</t>
  </si>
  <si>
    <t>meltpool_length_um</t>
  </si>
  <si>
    <t>peak_temperature_k</t>
  </si>
  <si>
    <t>Hf2Mo2Ta48W48 (at%)</t>
  </si>
  <si>
    <t>G</t>
  </si>
  <si>
    <t>L</t>
  </si>
  <si>
    <t>B</t>
  </si>
  <si>
    <t>K</t>
  </si>
  <si>
    <t>melt_length_um</t>
  </si>
  <si>
    <t>melt_width_um</t>
  </si>
  <si>
    <t>melt_depth_um</t>
  </si>
  <si>
    <t>peak_temperature</t>
  </si>
  <si>
    <t>min_temperature</t>
  </si>
  <si>
    <t>meltpool_depth_um_TCAM</t>
  </si>
  <si>
    <t>reference</t>
  </si>
  <si>
    <t>Good:</t>
  </si>
  <si>
    <t>Circle</t>
  </si>
  <si>
    <t>Star</t>
  </si>
  <si>
    <t>LOF:</t>
  </si>
  <si>
    <t>X</t>
  </si>
  <si>
    <t>Balling</t>
  </si>
  <si>
    <t>Keyholing</t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</si>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</sst>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ET</a:t>
            </a:r>
            <a:r>
              <a:rPr lang="en-US" sz="1200" baseline="0"/>
              <a:t> vs TCAM depth (um) using Cp @ Liquidus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Sheet1!$AC$2:$AC$3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Sheet1!$AD$2:$AD$3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019-43BD-8A24-C9F4C2B89019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019-43BD-8A24-C9F4C2B89019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0019-43BD-8A24-C9F4C2B89019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0019-43BD-8A24-C9F4C2B89019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019-43BD-8A24-C9F4C2B89019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0D8-44DE-89A5-D5DBBDDA3D1C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0019-43BD-8A24-C9F4C2B89019}"/>
              </c:ext>
            </c:extLst>
          </c:dPt>
          <c:xVal>
            <c:numRef>
              <c:f>Sheet1!$R$2:$R$9</c:f>
              <c:numCache>
                <c:formatCode>General</c:formatCode>
                <c:ptCount val="8"/>
                <c:pt idx="0">
                  <c:v>30.814580647985</c:v>
                </c:pt>
                <c:pt idx="1">
                  <c:v>38.307514798417003</c:v>
                </c:pt>
                <c:pt idx="2">
                  <c:v>22.226829024813998</c:v>
                </c:pt>
                <c:pt idx="3">
                  <c:v>27.260981313365001</c:v>
                </c:pt>
                <c:pt idx="4">
                  <c:v>20.511244252676001</c:v>
                </c:pt>
                <c:pt idx="5">
                  <c:v>24.665986425126999</c:v>
                </c:pt>
                <c:pt idx="6">
                  <c:v>37.482490819878997</c:v>
                </c:pt>
                <c:pt idx="7">
                  <c:v>37.601442700705</c:v>
                </c:pt>
              </c:numCache>
            </c:numRef>
          </c:xVal>
          <c:yVal>
            <c:numRef>
              <c:f>Sheet1!$Y$2:$Y$9</c:f>
              <c:numCache>
                <c:formatCode>General</c:formatCode>
                <c:ptCount val="8"/>
                <c:pt idx="0">
                  <c:v>55</c:v>
                </c:pt>
                <c:pt idx="1">
                  <c:v>76</c:v>
                </c:pt>
                <c:pt idx="2">
                  <c:v>29</c:v>
                </c:pt>
                <c:pt idx="3">
                  <c:v>45</c:v>
                </c:pt>
                <c:pt idx="4">
                  <c:v>25</c:v>
                </c:pt>
                <c:pt idx="5">
                  <c:v>41</c:v>
                </c:pt>
                <c:pt idx="6">
                  <c:v>83</c:v>
                </c:pt>
                <c:pt idx="7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019-43BD-8A24-C9F4C2B8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Depth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  <c:majorUnit val="10"/>
      </c:valAx>
      <c:valAx>
        <c:axId val="198567432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Depth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</a:t>
            </a:r>
            <a:r>
              <a:rPr lang="en-US" baseline="0"/>
              <a:t> vs TCAM width (um) using Cp @ Liquidus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Sheet1!$AC$2:$AC$3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Sheet1!$AD$2:$AD$3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E-4F1E-A835-472C29B03C32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C3E-4F1E-A835-472C29B03C32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C3E-4F1E-A835-472C29B03C32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C3E-4F1E-A835-472C29B03C32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C3E-4F1E-A835-472C29B03C32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C3E-4F1E-A835-472C29B03C32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C3E-4F1E-A835-472C29B03C32}"/>
              </c:ext>
            </c:extLst>
          </c:dPt>
          <c:xVal>
            <c:numRef>
              <c:f>Sheet1!$Q$2:$Q$9</c:f>
              <c:numCache>
                <c:formatCode>General</c:formatCode>
                <c:ptCount val="8"/>
                <c:pt idx="0">
                  <c:v>114.07242203655601</c:v>
                </c:pt>
                <c:pt idx="1">
                  <c:v>143.78656540471999</c:v>
                </c:pt>
                <c:pt idx="2">
                  <c:v>82.224585316575997</c:v>
                </c:pt>
                <c:pt idx="3">
                  <c:v>102.27084506435899</c:v>
                </c:pt>
                <c:pt idx="4">
                  <c:v>81.303718689652001</c:v>
                </c:pt>
                <c:pt idx="5">
                  <c:v>90.288285472955906</c:v>
                </c:pt>
                <c:pt idx="6">
                  <c:v>127.35025514227399</c:v>
                </c:pt>
                <c:pt idx="7">
                  <c:v>138.54469339553799</c:v>
                </c:pt>
              </c:numCache>
            </c:numRef>
          </c:xVal>
          <c:yVal>
            <c:numRef>
              <c:f>Sheet1!$X$2:$X$9</c:f>
              <c:numCache>
                <c:formatCode>General</c:formatCode>
                <c:ptCount val="8"/>
                <c:pt idx="0">
                  <c:v>168</c:v>
                </c:pt>
                <c:pt idx="1">
                  <c:v>200</c:v>
                </c:pt>
                <c:pt idx="2">
                  <c:v>134</c:v>
                </c:pt>
                <c:pt idx="3">
                  <c:v>150</c:v>
                </c:pt>
                <c:pt idx="4">
                  <c:v>130</c:v>
                </c:pt>
                <c:pt idx="5">
                  <c:v>152</c:v>
                </c:pt>
                <c:pt idx="6">
                  <c:v>208</c:v>
                </c:pt>
                <c:pt idx="7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3E-4F1E-A835-472C29B0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220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</c:valAx>
      <c:valAx>
        <c:axId val="1985674320"/>
        <c:scaling>
          <c:orientation val="minMax"/>
          <c:max val="22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</a:t>
            </a:r>
            <a:r>
              <a:rPr lang="en-US" baseline="0"/>
              <a:t> vs TCAM length (um) using Cp @ Liquidus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Sheet1!$AC$2:$AC$3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xVal>
          <c:yVal>
            <c:numRef>
              <c:f>Sheet1!$AD$2:$AD$3</c:f>
              <c:numCache>
                <c:formatCode>General</c:formatCode>
                <c:ptCount val="2"/>
                <c:pt idx="0">
                  <c:v>-200</c:v>
                </c:pt>
                <c:pt idx="1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3-4300-8D5C-C75845EFC2B9}"/>
            </c:ext>
          </c:extLst>
        </c:ser>
        <c:ser>
          <c:idx val="0"/>
          <c:order val="1"/>
          <c:tx>
            <c:v>Alloy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683-4300-8D5C-C75845EFC2B9}"/>
              </c:ext>
            </c:extLst>
          </c:dPt>
          <c:dPt>
            <c:idx val="1"/>
            <c:marker>
              <c:symbol val="diamond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683-4300-8D5C-C75845EFC2B9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683-4300-8D5C-C75845EFC2B9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683-4300-8D5C-C75845EFC2B9}"/>
              </c:ext>
            </c:extLst>
          </c:dPt>
          <c:dPt>
            <c:idx val="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683-4300-8D5C-C75845EFC2B9}"/>
              </c:ext>
            </c:extLst>
          </c:dPt>
          <c:dPt>
            <c:idx val="7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683-4300-8D5C-C75845EFC2B9}"/>
              </c:ext>
            </c:extLst>
          </c:dPt>
          <c:xVal>
            <c:numRef>
              <c:f>Sheet1!$S$2:$S$9</c:f>
              <c:numCache>
                <c:formatCode>General</c:formatCode>
                <c:ptCount val="8"/>
                <c:pt idx="0">
                  <c:v>171.468420115854</c:v>
                </c:pt>
                <c:pt idx="1">
                  <c:v>169.68135736697201</c:v>
                </c:pt>
                <c:pt idx="2">
                  <c:v>161.15888583133099</c:v>
                </c:pt>
                <c:pt idx="3">
                  <c:v>117.94596452541801</c:v>
                </c:pt>
                <c:pt idx="4">
                  <c:v>173.895592256703</c:v>
                </c:pt>
                <c:pt idx="5">
                  <c:v>180.60362891634799</c:v>
                </c:pt>
                <c:pt idx="6">
                  <c:v>184.77016930943799</c:v>
                </c:pt>
                <c:pt idx="7">
                  <c:v>177.784857877039</c:v>
                </c:pt>
              </c:numCache>
            </c:numRef>
          </c:xVal>
          <c:yVal>
            <c:numRef>
              <c:f>Sheet1!$W$2:$W$9</c:f>
              <c:numCache>
                <c:formatCode>General</c:formatCode>
                <c:ptCount val="8"/>
                <c:pt idx="0">
                  <c:v>342</c:v>
                </c:pt>
                <c:pt idx="1">
                  <c:v>313</c:v>
                </c:pt>
                <c:pt idx="2">
                  <c:v>284</c:v>
                </c:pt>
                <c:pt idx="3">
                  <c:v>201</c:v>
                </c:pt>
                <c:pt idx="4">
                  <c:v>292</c:v>
                </c:pt>
                <c:pt idx="5">
                  <c:v>373</c:v>
                </c:pt>
                <c:pt idx="6">
                  <c:v>432</c:v>
                </c:pt>
                <c:pt idx="7">
                  <c:v>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83-4300-8D5C-C75845EFC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29312"/>
        <c:axId val="1985674320"/>
      </c:scatterChart>
      <c:valAx>
        <c:axId val="1967529312"/>
        <c:scaling>
          <c:orientation val="minMax"/>
          <c:max val="4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TCAM 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4320"/>
        <c:crosses val="autoZero"/>
        <c:crossBetween val="midCat"/>
      </c:valAx>
      <c:valAx>
        <c:axId val="1985674320"/>
        <c:scaling>
          <c:orientation val="minMax"/>
          <c:max val="4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 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12</xdr:row>
      <xdr:rowOff>160020</xdr:rowOff>
    </xdr:from>
    <xdr:to>
      <xdr:col>21</xdr:col>
      <xdr:colOff>502920</xdr:colOff>
      <xdr:row>33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6FDCC-756E-463D-FC4A-BB186C2B1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569310</xdr:colOff>
      <xdr:row>33</xdr:row>
      <xdr:rowOff>144780</xdr:rowOff>
    </xdr:from>
    <xdr:to>
      <xdr:col>22</xdr:col>
      <xdr:colOff>512467</xdr:colOff>
      <xdr:row>56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0CD6D-8285-4F13-83B9-65374BC93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289559</xdr:colOff>
      <xdr:row>10</xdr:row>
      <xdr:rowOff>114300</xdr:rowOff>
    </xdr:from>
    <xdr:to>
      <xdr:col>29</xdr:col>
      <xdr:colOff>472966</xdr:colOff>
      <xdr:row>35</xdr:row>
      <xdr:rowOff>166414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75BED4-7A57-4174-B32D-B5E754503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A572-35E7-4684-9AD4-7BE49A2F7972}">
  <dimension ref="A1:AD19"/>
  <sheetViews>
    <sheetView tabSelected="1" topLeftCell="K1" zoomScale="87" workbookViewId="0">
      <selection activeCell="H13" sqref="H13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17</v>
      </c>
      <c r="T1" t="s">
        <v>18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C1" t="s">
        <v>30</v>
      </c>
    </row>
    <row r="2" spans="1:30" x14ac:dyDescent="0.3">
      <c r="A2">
        <v>0</v>
      </c>
      <c r="B2" t="s">
        <v>19</v>
      </c>
      <c r="C2">
        <v>0.48</v>
      </c>
      <c r="D2">
        <v>0</v>
      </c>
      <c r="E2">
        <v>0</v>
      </c>
      <c r="F2">
        <v>0.48</v>
      </c>
      <c r="G2">
        <v>0.02</v>
      </c>
      <c r="H2">
        <v>0.02</v>
      </c>
      <c r="I2">
        <v>0</v>
      </c>
      <c r="J2">
        <v>250</v>
      </c>
      <c r="K2">
        <v>0.5</v>
      </c>
      <c r="L2" t="s">
        <v>20</v>
      </c>
      <c r="M2">
        <v>3454.846</v>
      </c>
      <c r="N2">
        <v>1.14072422036556E-4</v>
      </c>
      <c r="O2" s="1">
        <v>3.0814580647985002E-5</v>
      </c>
      <c r="P2">
        <v>1.71468420115854E-4</v>
      </c>
      <c r="Q2">
        <v>114.07242203655601</v>
      </c>
      <c r="R2">
        <v>30.814580647985</v>
      </c>
      <c r="S2">
        <v>171.468420115854</v>
      </c>
      <c r="T2">
        <v>8518.4410482363601</v>
      </c>
      <c r="W2">
        <v>342</v>
      </c>
      <c r="X2">
        <v>168</v>
      </c>
      <c r="Y2">
        <v>55</v>
      </c>
      <c r="Z2">
        <v>15878.855</v>
      </c>
      <c r="AA2">
        <v>300.04573820000002</v>
      </c>
      <c r="AC2">
        <v>-200</v>
      </c>
      <c r="AD2">
        <v>-200</v>
      </c>
    </row>
    <row r="3" spans="1:30" x14ac:dyDescent="0.3">
      <c r="A3">
        <v>0</v>
      </c>
      <c r="B3" t="s">
        <v>19</v>
      </c>
      <c r="C3">
        <v>0.48</v>
      </c>
      <c r="D3">
        <v>0</v>
      </c>
      <c r="E3">
        <v>0</v>
      </c>
      <c r="F3">
        <v>0.48</v>
      </c>
      <c r="G3">
        <v>0.02</v>
      </c>
      <c r="H3">
        <v>0.02</v>
      </c>
      <c r="I3">
        <v>0</v>
      </c>
      <c r="J3">
        <v>200</v>
      </c>
      <c r="K3">
        <v>0.2</v>
      </c>
      <c r="L3" t="s">
        <v>20</v>
      </c>
      <c r="M3">
        <v>3454.846</v>
      </c>
      <c r="N3">
        <v>1.4378656540472E-4</v>
      </c>
      <c r="O3" s="1">
        <v>3.8307514798417E-5</v>
      </c>
      <c r="P3">
        <v>1.6968135736697201E-4</v>
      </c>
      <c r="Q3">
        <v>143.78656540471999</v>
      </c>
      <c r="R3">
        <v>38.307514798417003</v>
      </c>
      <c r="S3">
        <v>169.68135736697201</v>
      </c>
      <c r="T3">
        <v>8345.4361112515398</v>
      </c>
      <c r="W3">
        <v>313</v>
      </c>
      <c r="X3">
        <v>200</v>
      </c>
      <c r="Y3">
        <v>76</v>
      </c>
      <c r="Z3">
        <v>17027.705910000001</v>
      </c>
      <c r="AA3">
        <v>310.97161060000002</v>
      </c>
      <c r="AC3">
        <v>500</v>
      </c>
      <c r="AD3">
        <v>500</v>
      </c>
    </row>
    <row r="4" spans="1:30" x14ac:dyDescent="0.3">
      <c r="A4">
        <v>0</v>
      </c>
      <c r="B4" t="s">
        <v>19</v>
      </c>
      <c r="C4">
        <v>0.48</v>
      </c>
      <c r="D4">
        <v>0</v>
      </c>
      <c r="E4">
        <v>0</v>
      </c>
      <c r="F4">
        <v>0.48</v>
      </c>
      <c r="G4">
        <v>0.02</v>
      </c>
      <c r="H4">
        <v>0.02</v>
      </c>
      <c r="I4">
        <v>0</v>
      </c>
      <c r="J4">
        <v>250</v>
      </c>
      <c r="K4">
        <v>1.25</v>
      </c>
      <c r="L4" t="s">
        <v>21</v>
      </c>
      <c r="M4">
        <v>3454.846</v>
      </c>
      <c r="N4" s="1">
        <v>8.2224585316576E-5</v>
      </c>
      <c r="O4" s="1">
        <v>2.2226829024814001E-5</v>
      </c>
      <c r="P4">
        <v>1.6115888583133101E-4</v>
      </c>
      <c r="Q4">
        <v>82.224585316575997</v>
      </c>
      <c r="R4">
        <v>22.226829024813998</v>
      </c>
      <c r="S4">
        <v>161.15888583133099</v>
      </c>
      <c r="T4">
        <v>8379.1710557662791</v>
      </c>
      <c r="W4">
        <v>284</v>
      </c>
      <c r="X4">
        <v>134</v>
      </c>
      <c r="Y4">
        <v>29</v>
      </c>
      <c r="Z4">
        <v>11050.02765</v>
      </c>
      <c r="AA4">
        <v>300.00050649999997</v>
      </c>
    </row>
    <row r="5" spans="1:30" x14ac:dyDescent="0.3">
      <c r="A5">
        <v>0</v>
      </c>
      <c r="B5" t="s">
        <v>19</v>
      </c>
      <c r="C5">
        <v>0.48</v>
      </c>
      <c r="D5">
        <v>0</v>
      </c>
      <c r="E5">
        <v>0</v>
      </c>
      <c r="F5">
        <v>0.48</v>
      </c>
      <c r="G5">
        <v>0.02</v>
      </c>
      <c r="H5">
        <v>0.02</v>
      </c>
      <c r="I5">
        <v>0</v>
      </c>
      <c r="J5">
        <v>125</v>
      </c>
      <c r="K5">
        <v>0.25</v>
      </c>
      <c r="L5" t="s">
        <v>21</v>
      </c>
      <c r="M5">
        <v>3454.846</v>
      </c>
      <c r="N5">
        <v>1.0227084506435901E-4</v>
      </c>
      <c r="O5" s="1">
        <v>2.7260981313364999E-5</v>
      </c>
      <c r="P5">
        <v>1.17945964525418E-4</v>
      </c>
      <c r="Q5">
        <v>102.27084506435899</v>
      </c>
      <c r="R5">
        <v>27.260981313365001</v>
      </c>
      <c r="S5">
        <v>117.94596452541801</v>
      </c>
      <c r="T5">
        <v>7700.2431085083099</v>
      </c>
      <c r="W5">
        <v>201</v>
      </c>
      <c r="X5">
        <v>150</v>
      </c>
      <c r="Y5">
        <v>45</v>
      </c>
      <c r="Z5">
        <v>10116.3953</v>
      </c>
      <c r="AA5">
        <v>302.10647369999998</v>
      </c>
    </row>
    <row r="6" spans="1:30" x14ac:dyDescent="0.3">
      <c r="A6">
        <v>0</v>
      </c>
      <c r="B6" t="s">
        <v>19</v>
      </c>
      <c r="C6">
        <v>0.48</v>
      </c>
      <c r="D6">
        <v>0</v>
      </c>
      <c r="E6">
        <v>0</v>
      </c>
      <c r="F6">
        <v>0.48</v>
      </c>
      <c r="G6">
        <v>0.02</v>
      </c>
      <c r="H6">
        <v>0.02</v>
      </c>
      <c r="I6">
        <v>0</v>
      </c>
      <c r="J6">
        <v>275</v>
      </c>
      <c r="K6">
        <v>1.65</v>
      </c>
      <c r="L6" t="s">
        <v>22</v>
      </c>
      <c r="M6">
        <v>3454.846</v>
      </c>
      <c r="N6" s="1">
        <v>8.1303718689651998E-5</v>
      </c>
      <c r="O6" s="1">
        <v>2.0511244252676001E-5</v>
      </c>
      <c r="P6">
        <v>1.7389559225670299E-4</v>
      </c>
      <c r="Q6">
        <v>81.303718689652001</v>
      </c>
      <c r="R6">
        <v>20.511244252676001</v>
      </c>
      <c r="S6">
        <v>173.895592256703</v>
      </c>
      <c r="T6">
        <v>8437.32438682672</v>
      </c>
      <c r="W6">
        <v>292</v>
      </c>
      <c r="X6">
        <v>130</v>
      </c>
      <c r="Y6">
        <v>25</v>
      </c>
      <c r="Z6">
        <v>10759.175859999999</v>
      </c>
      <c r="AA6">
        <v>300.00033089999999</v>
      </c>
    </row>
    <row r="7" spans="1:30" x14ac:dyDescent="0.3">
      <c r="A7">
        <v>0</v>
      </c>
      <c r="B7" t="s">
        <v>19</v>
      </c>
      <c r="C7">
        <v>0.48</v>
      </c>
      <c r="D7">
        <v>0</v>
      </c>
      <c r="E7">
        <v>0</v>
      </c>
      <c r="F7">
        <v>0.48</v>
      </c>
      <c r="G7">
        <v>0.02</v>
      </c>
      <c r="H7">
        <v>0.02</v>
      </c>
      <c r="I7">
        <v>0</v>
      </c>
      <c r="J7">
        <v>305</v>
      </c>
      <c r="K7">
        <v>1</v>
      </c>
      <c r="L7" t="s">
        <v>22</v>
      </c>
      <c r="M7">
        <v>3454.846</v>
      </c>
      <c r="N7" s="1">
        <v>9.0288285472955998E-5</v>
      </c>
      <c r="O7" s="1">
        <v>2.4665986425127001E-5</v>
      </c>
      <c r="P7">
        <v>1.80603628916348E-4</v>
      </c>
      <c r="Q7">
        <v>90.288285472955906</v>
      </c>
      <c r="R7">
        <v>24.665986425126999</v>
      </c>
      <c r="S7">
        <v>180.60362891634799</v>
      </c>
      <c r="T7">
        <v>8670.6290628860897</v>
      </c>
      <c r="W7">
        <v>373</v>
      </c>
      <c r="X7">
        <v>152</v>
      </c>
      <c r="Y7">
        <v>41</v>
      </c>
      <c r="Z7">
        <v>14731.959570000001</v>
      </c>
      <c r="AA7">
        <v>300.00117419999998</v>
      </c>
    </row>
    <row r="8" spans="1:30" x14ac:dyDescent="0.3">
      <c r="A8">
        <v>0</v>
      </c>
      <c r="B8" t="s">
        <v>19</v>
      </c>
      <c r="C8">
        <v>0.48</v>
      </c>
      <c r="D8">
        <v>0</v>
      </c>
      <c r="E8">
        <v>0</v>
      </c>
      <c r="F8">
        <v>0.48</v>
      </c>
      <c r="G8">
        <v>0.02</v>
      </c>
      <c r="H8">
        <v>0.02</v>
      </c>
      <c r="I8">
        <v>0</v>
      </c>
      <c r="J8">
        <v>300</v>
      </c>
      <c r="K8">
        <v>0.3</v>
      </c>
      <c r="L8" t="s">
        <v>23</v>
      </c>
      <c r="M8">
        <v>3454.846</v>
      </c>
      <c r="N8">
        <v>1.2735025514227401E-4</v>
      </c>
      <c r="O8" s="1">
        <v>3.7482490819878899E-5</v>
      </c>
      <c r="P8">
        <v>1.8477016930943801E-4</v>
      </c>
      <c r="Q8">
        <v>127.35025514227399</v>
      </c>
      <c r="R8">
        <v>37.482490819878997</v>
      </c>
      <c r="S8">
        <v>184.77016930943799</v>
      </c>
      <c r="T8">
        <v>8769.1206385526493</v>
      </c>
      <c r="W8">
        <v>432</v>
      </c>
      <c r="X8">
        <v>208</v>
      </c>
      <c r="Y8">
        <v>83</v>
      </c>
      <c r="Z8">
        <v>22579.440200000001</v>
      </c>
      <c r="AA8">
        <v>301.7103328</v>
      </c>
    </row>
    <row r="9" spans="1:30" x14ac:dyDescent="0.3">
      <c r="A9">
        <v>0</v>
      </c>
      <c r="B9" t="s">
        <v>19</v>
      </c>
      <c r="C9">
        <v>0.48</v>
      </c>
      <c r="D9">
        <v>0</v>
      </c>
      <c r="E9">
        <v>0</v>
      </c>
      <c r="F9">
        <v>0.48</v>
      </c>
      <c r="G9">
        <v>0.02</v>
      </c>
      <c r="H9">
        <v>0.02</v>
      </c>
      <c r="I9">
        <v>0</v>
      </c>
      <c r="J9">
        <v>250</v>
      </c>
      <c r="K9">
        <v>0.25</v>
      </c>
      <c r="L9" t="s">
        <v>23</v>
      </c>
      <c r="M9">
        <v>3454.846</v>
      </c>
      <c r="N9">
        <v>1.38544693395538E-4</v>
      </c>
      <c r="O9" s="1">
        <v>3.7601442700705001E-5</v>
      </c>
      <c r="P9">
        <v>1.77784857877039E-4</v>
      </c>
      <c r="Q9">
        <v>138.54469339553799</v>
      </c>
      <c r="R9">
        <v>37.601442700705</v>
      </c>
      <c r="S9">
        <v>177.784857877039</v>
      </c>
      <c r="T9">
        <v>8574.9164333931094</v>
      </c>
      <c r="W9">
        <v>372</v>
      </c>
      <c r="X9">
        <v>204</v>
      </c>
      <c r="Y9">
        <v>81</v>
      </c>
      <c r="Z9">
        <v>19932.7906</v>
      </c>
      <c r="AA9">
        <v>304.21294740000002</v>
      </c>
    </row>
    <row r="16" spans="1:30" x14ac:dyDescent="0.3">
      <c r="O16" t="s">
        <v>31</v>
      </c>
      <c r="P16" t="s">
        <v>33</v>
      </c>
    </row>
    <row r="17" spans="15:16" x14ac:dyDescent="0.3">
      <c r="O17" t="s">
        <v>34</v>
      </c>
      <c r="P17" t="s">
        <v>35</v>
      </c>
    </row>
    <row r="18" spans="15:16" x14ac:dyDescent="0.3">
      <c r="O18" t="s">
        <v>36</v>
      </c>
      <c r="P18" t="s">
        <v>32</v>
      </c>
    </row>
    <row r="19" spans="15:16" x14ac:dyDescent="0.3">
      <c r="O19" t="s">
        <v>37</v>
      </c>
      <c r="P19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2026-05-21T06:29:42Z</dcterms:created>
  <dcterms:modified xsi:type="dcterms:W3CDTF">2026-05-22T05:32:20Z</dcterms:modified>
</cp:coreProperties>
</file>